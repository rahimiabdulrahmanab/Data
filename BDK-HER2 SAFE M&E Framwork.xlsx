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4. Implemented Projects\EPHS-BPHS Badakhshan\Monthly reports\Provincial office\"/>
    </mc:Choice>
  </mc:AlternateContent>
  <bookViews>
    <workbookView xWindow="0" yWindow="0" windowWidth="19200" windowHeight="7050" tabRatio="777" activeTab="1"/>
  </bookViews>
  <sheets>
    <sheet name="M&amp;E Plan" sheetId="16" r:id="rId1"/>
    <sheet name="IPTT_BDK" sheetId="4" r:id="rId2"/>
    <sheet name="Analysis " sheetId="17" r:id="rId3"/>
  </sheets>
  <definedNames>
    <definedName name="_xlnm.Print_Area" localSheetId="2">'Analysis '!$A$1:$M$22</definedName>
    <definedName name="_xlnm.Print_Area" localSheetId="1">IPTT_BDK!$A$1:$AQ$24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4" l="1"/>
  <c r="N7" i="4" l="1"/>
  <c r="P7" i="4" l="1"/>
  <c r="D8" i="4" l="1"/>
  <c r="D9" i="4"/>
  <c r="D10" i="4"/>
  <c r="D11" i="4"/>
  <c r="D12" i="4"/>
  <c r="D13" i="4"/>
  <c r="D14" i="4"/>
  <c r="D15" i="4"/>
  <c r="D16" i="4"/>
  <c r="D7" i="4"/>
  <c r="E8" i="4"/>
  <c r="E9" i="4"/>
  <c r="E10" i="4"/>
  <c r="E11" i="4"/>
  <c r="E12" i="4"/>
  <c r="E13" i="4"/>
  <c r="E14" i="4"/>
  <c r="E15" i="4"/>
  <c r="E16" i="4"/>
  <c r="E7" i="4"/>
  <c r="AY10" i="4" l="1"/>
  <c r="BW16" i="4" l="1"/>
  <c r="BP8" i="4" l="1"/>
  <c r="BP9" i="4"/>
  <c r="BP10" i="4"/>
  <c r="BP11" i="4"/>
  <c r="BP12" i="4"/>
  <c r="BP13" i="4"/>
  <c r="BP14" i="4"/>
  <c r="BP15" i="4"/>
  <c r="BP16" i="4"/>
  <c r="BP7" i="4"/>
  <c r="BK8" i="4"/>
  <c r="BK9" i="4"/>
  <c r="BK10" i="4"/>
  <c r="BK11" i="4"/>
  <c r="BK12" i="4"/>
  <c r="BK13" i="4"/>
  <c r="BK14" i="4"/>
  <c r="BK15" i="4"/>
  <c r="BK16" i="4"/>
  <c r="BK7" i="4"/>
  <c r="BE8" i="4"/>
  <c r="BE9" i="4"/>
  <c r="BE10" i="4"/>
  <c r="BE11" i="4"/>
  <c r="BE12" i="4"/>
  <c r="BE13" i="4"/>
  <c r="BE14" i="4"/>
  <c r="BE15" i="4"/>
  <c r="BE16" i="4"/>
  <c r="BE7" i="4"/>
  <c r="AY8" i="4"/>
  <c r="AY9" i="4"/>
  <c r="AY11" i="4"/>
  <c r="AY12" i="4"/>
  <c r="AY13" i="4"/>
  <c r="AY14" i="4"/>
  <c r="AY15" i="4"/>
  <c r="AY16" i="4"/>
  <c r="AY7" i="4"/>
  <c r="BW7" i="4" l="1"/>
  <c r="BQ8" i="4"/>
  <c r="BQ9" i="4"/>
  <c r="BQ10" i="4"/>
  <c r="BQ11" i="4"/>
  <c r="BQ12" i="4"/>
  <c r="BQ13" i="4"/>
  <c r="BQ14" i="4"/>
  <c r="BQ15" i="4"/>
  <c r="BQ16" i="4"/>
  <c r="BQ7" i="4"/>
  <c r="BL8" i="4"/>
  <c r="BL9" i="4"/>
  <c r="BL10" i="4"/>
  <c r="BL11" i="4"/>
  <c r="BL12" i="4"/>
  <c r="BL13" i="4"/>
  <c r="BL14" i="4"/>
  <c r="BL15" i="4"/>
  <c r="BL16" i="4"/>
  <c r="BL7" i="4"/>
  <c r="BF8" i="4"/>
  <c r="BF9" i="4"/>
  <c r="BF10" i="4"/>
  <c r="BF11" i="4"/>
  <c r="BF12" i="4"/>
  <c r="BF13" i="4"/>
  <c r="BF14" i="4"/>
  <c r="BF15" i="4"/>
  <c r="BF16" i="4"/>
  <c r="BF7" i="4"/>
  <c r="BG7" i="4" s="1"/>
  <c r="AZ8" i="4"/>
  <c r="AZ9" i="4"/>
  <c r="AZ10" i="4"/>
  <c r="AZ11" i="4"/>
  <c r="AZ12" i="4"/>
  <c r="AZ13" i="4"/>
  <c r="AZ14" i="4"/>
  <c r="AZ15" i="4"/>
  <c r="AZ16" i="4"/>
  <c r="AZ7" i="4"/>
  <c r="AT8" i="4"/>
  <c r="AT9" i="4"/>
  <c r="AT10" i="4"/>
  <c r="AT11" i="4"/>
  <c r="AT12" i="4"/>
  <c r="AT13" i="4"/>
  <c r="AT14" i="4"/>
  <c r="AT15" i="4"/>
  <c r="AT16" i="4"/>
  <c r="AT7" i="4"/>
  <c r="AS8" i="4"/>
  <c r="AS9" i="4"/>
  <c r="AS10" i="4"/>
  <c r="AS11" i="4"/>
  <c r="AS12" i="4"/>
  <c r="AS13" i="4"/>
  <c r="AS14" i="4"/>
  <c r="AS15" i="4"/>
  <c r="AS16" i="4"/>
  <c r="AS7" i="4"/>
  <c r="AL8" i="4"/>
  <c r="AL9" i="4"/>
  <c r="AL10" i="4"/>
  <c r="AL11" i="4"/>
  <c r="AL12" i="4"/>
  <c r="AL13" i="4"/>
  <c r="AL14" i="4"/>
  <c r="AL15" i="4"/>
  <c r="AL16" i="4"/>
  <c r="AL7" i="4"/>
  <c r="AJ8" i="4"/>
  <c r="AJ9" i="4"/>
  <c r="AJ10" i="4"/>
  <c r="AJ11" i="4"/>
  <c r="AJ12" i="4"/>
  <c r="AJ13" i="4"/>
  <c r="AJ14" i="4"/>
  <c r="AJ15" i="4"/>
  <c r="AJ16" i="4"/>
  <c r="AJ7" i="4"/>
  <c r="AH8" i="4"/>
  <c r="AH9" i="4"/>
  <c r="AH10" i="4"/>
  <c r="AH11" i="4"/>
  <c r="AH12" i="4"/>
  <c r="AH13" i="4"/>
  <c r="AH14" i="4"/>
  <c r="AH15" i="4"/>
  <c r="AH16" i="4"/>
  <c r="AH7" i="4"/>
  <c r="AF8" i="4"/>
  <c r="AF9" i="4"/>
  <c r="AF10" i="4"/>
  <c r="AF11" i="4"/>
  <c r="AF12" i="4"/>
  <c r="AF13" i="4"/>
  <c r="AF14" i="4"/>
  <c r="AF15" i="4"/>
  <c r="AF16" i="4"/>
  <c r="AF7" i="4"/>
  <c r="AD8" i="4"/>
  <c r="AD9" i="4"/>
  <c r="AD10" i="4"/>
  <c r="AD11" i="4"/>
  <c r="AD12" i="4"/>
  <c r="AD13" i="4"/>
  <c r="AD14" i="4"/>
  <c r="AD15" i="4"/>
  <c r="AD16" i="4"/>
  <c r="AD7" i="4"/>
  <c r="AB8" i="4"/>
  <c r="AB9" i="4"/>
  <c r="AB10" i="4"/>
  <c r="AB11" i="4"/>
  <c r="AB12" i="4"/>
  <c r="AB13" i="4"/>
  <c r="AB14" i="4"/>
  <c r="AB15" i="4"/>
  <c r="AB16" i="4"/>
  <c r="AB7" i="4"/>
  <c r="Z8" i="4"/>
  <c r="Z9" i="4"/>
  <c r="Z10" i="4"/>
  <c r="Z11" i="4"/>
  <c r="Z12" i="4"/>
  <c r="Z13" i="4"/>
  <c r="Z14" i="4"/>
  <c r="Z15" i="4"/>
  <c r="Z16" i="4"/>
  <c r="Z7" i="4"/>
  <c r="X8" i="4"/>
  <c r="X9" i="4"/>
  <c r="X10" i="4"/>
  <c r="X11" i="4"/>
  <c r="X12" i="4"/>
  <c r="X13" i="4"/>
  <c r="X14" i="4"/>
  <c r="X15" i="4"/>
  <c r="X16" i="4"/>
  <c r="X7" i="4"/>
  <c r="V8" i="4"/>
  <c r="V9" i="4"/>
  <c r="V10" i="4"/>
  <c r="V11" i="4"/>
  <c r="V12" i="4"/>
  <c r="V13" i="4"/>
  <c r="V14" i="4"/>
  <c r="V15" i="4"/>
  <c r="V16" i="4"/>
  <c r="V7" i="4"/>
  <c r="T8" i="4"/>
  <c r="T9" i="4"/>
  <c r="T10" i="4"/>
  <c r="T11" i="4"/>
  <c r="T12" i="4"/>
  <c r="T13" i="4"/>
  <c r="T14" i="4"/>
  <c r="T15" i="4"/>
  <c r="T16" i="4"/>
  <c r="T7" i="4"/>
  <c r="R8" i="4"/>
  <c r="R9" i="4"/>
  <c r="R10" i="4"/>
  <c r="R11" i="4"/>
  <c r="R12" i="4"/>
  <c r="R13" i="4"/>
  <c r="R14" i="4"/>
  <c r="R15" i="4"/>
  <c r="R16" i="4"/>
  <c r="R7" i="4"/>
  <c r="P8" i="4"/>
  <c r="P9" i="4"/>
  <c r="P10" i="4"/>
  <c r="P11" i="4"/>
  <c r="P12" i="4"/>
  <c r="P13" i="4"/>
  <c r="P14" i="4"/>
  <c r="P15" i="4"/>
  <c r="P16" i="4"/>
  <c r="N8" i="4"/>
  <c r="N9" i="4"/>
  <c r="N10" i="4"/>
  <c r="N11" i="4"/>
  <c r="N13" i="4"/>
  <c r="N14" i="4"/>
  <c r="N15" i="4"/>
  <c r="N16" i="4"/>
  <c r="BW15" i="4"/>
  <c r="BW14" i="4"/>
  <c r="BW13" i="4"/>
  <c r="BW12" i="4"/>
  <c r="BW11" i="4"/>
  <c r="BW10" i="4"/>
  <c r="BW9" i="4"/>
  <c r="BW8" i="4"/>
  <c r="BA7" i="4" l="1"/>
  <c r="BR16" i="4"/>
  <c r="BR15" i="4"/>
  <c r="BR14" i="4"/>
  <c r="BR13" i="4"/>
  <c r="BR12" i="4"/>
  <c r="BR11" i="4"/>
  <c r="BR10" i="4"/>
  <c r="BR9" i="4"/>
  <c r="BR8" i="4"/>
  <c r="BR7" i="4"/>
  <c r="B5" i="17"/>
  <c r="B6" i="17"/>
  <c r="B7" i="17"/>
  <c r="B8" i="17"/>
  <c r="B9" i="17"/>
  <c r="B10" i="17"/>
  <c r="B11" i="17"/>
  <c r="B12" i="17"/>
  <c r="B13" i="17"/>
  <c r="B14" i="17"/>
  <c r="B4" i="17"/>
  <c r="C5" i="17" l="1"/>
  <c r="D5" i="17" s="1"/>
  <c r="C6" i="17"/>
  <c r="D6" i="17" s="1"/>
  <c r="C7" i="17"/>
  <c r="D7" i="17" s="1"/>
  <c r="C8" i="17"/>
  <c r="D8" i="17" s="1"/>
  <c r="C9" i="17"/>
  <c r="D9" i="17" s="1"/>
  <c r="C10" i="17"/>
  <c r="D10" i="17" s="1"/>
  <c r="C11" i="17"/>
  <c r="D11" i="17" s="1"/>
  <c r="C12" i="17"/>
  <c r="D12" i="17" s="1"/>
  <c r="C13" i="17"/>
  <c r="D13" i="17" s="1"/>
  <c r="C14" i="17"/>
  <c r="D14" i="17" s="1"/>
  <c r="C4" i="17"/>
  <c r="D4" i="17" s="1"/>
  <c r="BV7" i="4"/>
  <c r="CB7" i="4" s="1"/>
  <c r="CC7" i="4" s="1"/>
  <c r="BV8" i="4" l="1"/>
  <c r="CB8" i="4" s="1"/>
  <c r="CC8" i="4" s="1"/>
  <c r="BV9" i="4"/>
  <c r="BV10" i="4"/>
  <c r="BV11" i="4"/>
  <c r="CB11" i="4" s="1"/>
  <c r="CC11" i="4" s="1"/>
  <c r="BV12" i="4"/>
  <c r="CB12" i="4" s="1"/>
  <c r="CC12" i="4" s="1"/>
  <c r="BV13" i="4"/>
  <c r="BV14" i="4"/>
  <c r="CB14" i="4" s="1"/>
  <c r="CC14" i="4" s="1"/>
  <c r="BV15" i="4"/>
  <c r="BV16" i="4"/>
  <c r="CB16" i="4" s="1"/>
  <c r="CC16" i="4" s="1"/>
  <c r="BM8" i="4"/>
  <c r="BM9" i="4"/>
  <c r="BM10" i="4"/>
  <c r="BM11" i="4"/>
  <c r="BM12" i="4"/>
  <c r="BM13" i="4"/>
  <c r="BM14" i="4"/>
  <c r="BM15" i="4"/>
  <c r="BM16" i="4"/>
  <c r="BM7" i="4"/>
  <c r="BG8" i="4"/>
  <c r="BG9" i="4"/>
  <c r="BG10" i="4"/>
  <c r="BG11" i="4"/>
  <c r="BG12" i="4"/>
  <c r="BG13" i="4"/>
  <c r="BG14" i="4"/>
  <c r="BG15" i="4"/>
  <c r="BG16" i="4"/>
  <c r="BA16" i="4"/>
  <c r="K16" i="4"/>
  <c r="J16" i="4"/>
  <c r="I16" i="4"/>
  <c r="H16" i="4"/>
  <c r="G16" i="4"/>
  <c r="F16" i="4"/>
  <c r="BA15" i="4"/>
  <c r="K15" i="4"/>
  <c r="J15" i="4"/>
  <c r="I15" i="4"/>
  <c r="H15" i="4"/>
  <c r="G15" i="4"/>
  <c r="F15" i="4"/>
  <c r="BA14" i="4"/>
  <c r="K14" i="4"/>
  <c r="J14" i="4"/>
  <c r="I14" i="4"/>
  <c r="H14" i="4"/>
  <c r="G14" i="4"/>
  <c r="F14" i="4"/>
  <c r="BA13" i="4"/>
  <c r="K13" i="4"/>
  <c r="J13" i="4"/>
  <c r="I13" i="4"/>
  <c r="H13" i="4"/>
  <c r="G13" i="4"/>
  <c r="F13" i="4"/>
  <c r="BA12" i="4"/>
  <c r="K12" i="4"/>
  <c r="J12" i="4"/>
  <c r="I12" i="4"/>
  <c r="H12" i="4"/>
  <c r="G12" i="4"/>
  <c r="F12" i="4"/>
  <c r="BA11" i="4"/>
  <c r="K11" i="4"/>
  <c r="J11" i="4"/>
  <c r="I11" i="4"/>
  <c r="H11" i="4"/>
  <c r="G11" i="4"/>
  <c r="F11" i="4"/>
  <c r="BA10" i="4"/>
  <c r="K10" i="4"/>
  <c r="J10" i="4"/>
  <c r="I10" i="4"/>
  <c r="H10" i="4"/>
  <c r="G10" i="4"/>
  <c r="F10" i="4"/>
  <c r="BA9" i="4"/>
  <c r="K9" i="4"/>
  <c r="J9" i="4"/>
  <c r="I9" i="4"/>
  <c r="H9" i="4"/>
  <c r="G9" i="4"/>
  <c r="F9" i="4"/>
  <c r="BA8" i="4"/>
  <c r="K8" i="4"/>
  <c r="J8" i="4"/>
  <c r="I8" i="4"/>
  <c r="H8" i="4"/>
  <c r="G8" i="4"/>
  <c r="F8" i="4"/>
  <c r="K7" i="4"/>
  <c r="J7" i="4"/>
  <c r="I7" i="4"/>
  <c r="H7" i="4"/>
  <c r="G7" i="4"/>
  <c r="F7" i="4"/>
  <c r="AN9" i="4" l="1"/>
  <c r="AP9" i="4"/>
  <c r="AN16" i="4"/>
  <c r="AP16" i="4"/>
  <c r="AP15" i="4"/>
  <c r="AN15" i="4"/>
  <c r="AP7" i="4"/>
  <c r="AN7" i="4"/>
  <c r="AP8" i="4"/>
  <c r="AN8" i="4"/>
  <c r="AP14" i="4"/>
  <c r="AN14" i="4"/>
  <c r="AP12" i="4"/>
  <c r="AN12" i="4"/>
  <c r="AP11" i="4"/>
  <c r="AN11" i="4"/>
  <c r="AN13" i="4"/>
  <c r="AP13" i="4"/>
  <c r="AP10" i="4"/>
  <c r="AN10" i="4"/>
  <c r="BX11" i="4"/>
  <c r="BX13" i="4"/>
  <c r="CB13" i="4"/>
  <c r="CC13" i="4" s="1"/>
  <c r="BX10" i="4"/>
  <c r="CB10" i="4"/>
  <c r="CC10" i="4" s="1"/>
  <c r="BX9" i="4"/>
  <c r="CB9" i="4"/>
  <c r="CC9" i="4" s="1"/>
  <c r="BX15" i="4"/>
  <c r="CB15" i="4"/>
  <c r="CC15" i="4" s="1"/>
  <c r="BX12" i="4"/>
  <c r="BX16" i="4"/>
  <c r="AU14" i="4"/>
  <c r="BX8" i="4"/>
  <c r="AU10" i="4"/>
  <c r="AU9" i="4"/>
  <c r="BX14" i="4"/>
  <c r="AU11" i="4"/>
  <c r="AU13" i="4"/>
  <c r="AU15" i="4"/>
  <c r="AU12" i="4"/>
  <c r="BX7" i="4"/>
  <c r="AU7" i="4"/>
  <c r="AU16" i="4"/>
  <c r="AU8" i="4"/>
</calcChain>
</file>

<file path=xl/sharedStrings.xml><?xml version="1.0" encoding="utf-8"?>
<sst xmlns="http://schemas.openxmlformats.org/spreadsheetml/2006/main" count="201" uniqueCount="73">
  <si>
    <t xml:space="preserve"> Indicators </t>
  </si>
  <si>
    <t>Monthly Target</t>
  </si>
  <si>
    <t>% Reached</t>
  </si>
  <si>
    <t>ANCs</t>
  </si>
  <si>
    <t>l Deliveries</t>
  </si>
  <si>
    <t>PNCs</t>
  </si>
  <si>
    <t>CS</t>
  </si>
  <si>
    <t xml:space="preserve">CYP </t>
  </si>
  <si>
    <t xml:space="preserve">Child Morbidity </t>
  </si>
  <si>
    <t>GMP/IYCF</t>
  </si>
  <si>
    <t>Major Surgery</t>
  </si>
  <si>
    <t>PENTA3</t>
  </si>
  <si>
    <t>TT2+</t>
  </si>
  <si>
    <t xml:space="preserve"># of TB cases treated </t>
  </si>
  <si>
    <t xml:space="preserve">                                                                                                </t>
  </si>
  <si>
    <t>Total Target</t>
  </si>
  <si>
    <t>First Quarter Target ( Feb&amp;Mar)</t>
  </si>
  <si>
    <t>Quartely Target</t>
  </si>
  <si>
    <t>Min</t>
  </si>
  <si>
    <t>Index</t>
  </si>
  <si>
    <t>Cap</t>
  </si>
  <si>
    <t>#</t>
  </si>
  <si>
    <t>%</t>
  </si>
  <si>
    <t>Q T</t>
  </si>
  <si>
    <t xml:space="preserve">Total Target </t>
  </si>
  <si>
    <t>Frequency of data collection</t>
  </si>
  <si>
    <t>Frequency of reporting</t>
  </si>
  <si>
    <t>Data analysis responsible</t>
  </si>
  <si>
    <t xml:space="preserve">Maternal and New Born Care </t>
  </si>
  <si>
    <t>Monthly</t>
  </si>
  <si>
    <t>Staff</t>
  </si>
  <si>
    <t>TPM Verified</t>
  </si>
  <si>
    <t xml:space="preserve">DIHS2 Reported </t>
  </si>
  <si>
    <t xml:space="preserve">Category </t>
  </si>
  <si>
    <t xml:space="preserve">Indicators </t>
  </si>
  <si>
    <t xml:space="preserve"># of antenatal consultations provided during the period. </t>
  </si>
  <si>
    <t>Reports (FMR, Monthly report, Quarterly report , DHIS 2 monthly report and HMIS quarterly report, supervision/ monitoring data)</t>
  </si>
  <si>
    <t>Weekly</t>
  </si>
  <si>
    <t>M&amp;E head</t>
  </si>
  <si>
    <t xml:space="preserve"># of safe/normal deliveries provided during the period. </t>
  </si>
  <si>
    <t xml:space="preserve"># of postnatal care/consulations provided during the period. </t>
  </si>
  <si>
    <t xml:space="preserve"># of ceasarian section surgeries performed during the period. </t>
  </si>
  <si>
    <t xml:space="preserve"> Major Surgeries</t>
  </si>
  <si>
    <t xml:space="preserve"># of major surgeries other than C/S performed during the period. </t>
  </si>
  <si>
    <t xml:space="preserve"># of contraceptive methods/tools distributed during the specified period. </t>
  </si>
  <si>
    <t xml:space="preserve"> Child Health and Immunization</t>
  </si>
  <si>
    <t># of under five children received IMNCI services.</t>
  </si>
  <si>
    <t xml:space="preserve"># of TT2+ vaccines administered to pregnant and non-pregnant women. </t>
  </si>
  <si>
    <t>Public Nutrition</t>
  </si>
  <si>
    <t xml:space="preserve"># of children received GMP/IYCF services during the period. </t>
  </si>
  <si>
    <t xml:space="preserve"># of TB cases treated during the period. </t>
  </si>
  <si>
    <t xml:space="preserve">TB </t>
  </si>
  <si>
    <t xml:space="preserve">Cumulative KPI data </t>
  </si>
  <si>
    <t xml:space="preserve"># Performance </t>
  </si>
  <si>
    <t>Q 1 (March_DHIS2 rerorted)</t>
  </si>
  <si>
    <t>Q 4 (Oct-Dec_DHIS2 reported)</t>
  </si>
  <si>
    <t>Q 3 (July-Sep_DHIS2 reported)</t>
  </si>
  <si>
    <t>Q 2 (Apr-Jun_DHIS2 reported)</t>
  </si>
  <si>
    <t>Q 1 (Jan-March_DHIS2 reported)</t>
  </si>
  <si>
    <t>Means of verification (MoV) or data Source</t>
  </si>
  <si>
    <t>Baseline</t>
  </si>
  <si>
    <t>Indicator calculation /definition</t>
  </si>
  <si>
    <t>Data collection responsible</t>
  </si>
  <si>
    <t>Variance between Target and Performance (DIHI2 report)</t>
  </si>
  <si>
    <t>Quarterly Analysis Q4 2025</t>
  </si>
  <si>
    <t>Quartelry Analysis Q1 2026</t>
  </si>
  <si>
    <t>Quartelry Analysis Q2 2026</t>
  </si>
  <si>
    <t>Quartelry Analysis Q3 2026</t>
  </si>
  <si>
    <t>Quartelry Analysis Q4 2026</t>
  </si>
  <si>
    <t>Cumulative Analysis
October 2025-December 2026</t>
  </si>
  <si>
    <t>Quarterly Target</t>
  </si>
  <si>
    <t>Total target 
(15)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</si>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</sst>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-yy;@"/>
    <numFmt numFmtId="165" formatCode="_(* #,##0_);_(* \(#,##0\);_(* &quot;-&quot;??_);_(@_)"/>
    <numFmt numFmtId="166" formatCode="[Red]#,###&quot;🔻&quot;;[Blue]#,###&quot;🔺&quot;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8" tint="-0.499984740745262"/>
      <name val="Times New Roman"/>
      <family val="1"/>
    </font>
    <font>
      <b/>
      <sz val="16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20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6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36"/>
      <color theme="1"/>
      <name val="Times New Roman"/>
      <family val="1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6"/>
      <color rgb="FF002060"/>
      <name val="Times New Roman"/>
      <family val="1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4"/>
      <color rgb="FFFF0000"/>
      <name val="Times New Roman"/>
      <family val="1"/>
    </font>
    <font>
      <b/>
      <sz val="4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0" fillId="2" borderId="0" xfId="0" applyFill="1"/>
    <xf numFmtId="165" fontId="0" fillId="2" borderId="0" xfId="0" applyNumberFormat="1" applyFill="1"/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34" xfId="0" applyFont="1" applyFill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18" fillId="0" borderId="3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9" fontId="13" fillId="0" borderId="7" xfId="4" applyFont="1" applyBorder="1" applyAlignment="1">
      <alignment horizontal="center"/>
    </xf>
    <xf numFmtId="9" fontId="13" fillId="0" borderId="9" xfId="4" applyFont="1" applyBorder="1" applyAlignment="1">
      <alignment horizontal="center"/>
    </xf>
    <xf numFmtId="9" fontId="13" fillId="0" borderId="11" xfId="4" applyFont="1" applyBorder="1" applyAlignment="1">
      <alignment horizontal="center"/>
    </xf>
    <xf numFmtId="0" fontId="8" fillId="2" borderId="6" xfId="0" applyFont="1" applyFill="1" applyBorder="1" applyAlignment="1">
      <alignment horizontal="left" vertical="center" wrapText="1"/>
    </xf>
    <xf numFmtId="165" fontId="8" fillId="2" borderId="33" xfId="3" applyNumberFormat="1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37" xfId="0" applyFont="1" applyFill="1" applyBorder="1" applyAlignment="1">
      <alignment vertical="center" wrapText="1"/>
    </xf>
    <xf numFmtId="164" fontId="8" fillId="2" borderId="37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 wrapText="1"/>
    </xf>
    <xf numFmtId="0" fontId="18" fillId="6" borderId="35" xfId="0" applyFont="1" applyFill="1" applyBorder="1" applyAlignment="1">
      <alignment horizontal="center" vertical="center" wrapText="1"/>
    </xf>
    <xf numFmtId="0" fontId="18" fillId="6" borderId="35" xfId="0" applyFont="1" applyFill="1" applyBorder="1" applyAlignment="1">
      <alignment horizontal="center" vertical="center"/>
    </xf>
    <xf numFmtId="0" fontId="18" fillId="6" borderId="35" xfId="0" applyFont="1" applyFill="1" applyBorder="1" applyAlignment="1">
      <alignment horizontal="center"/>
    </xf>
    <xf numFmtId="1" fontId="18" fillId="6" borderId="29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 wrapText="1"/>
    </xf>
    <xf numFmtId="0" fontId="15" fillId="6" borderId="38" xfId="0" applyFont="1" applyFill="1" applyBorder="1" applyAlignment="1">
      <alignment horizontal="center" vertical="center" wrapText="1"/>
    </xf>
    <xf numFmtId="0" fontId="15" fillId="6" borderId="25" xfId="0" applyFont="1" applyFill="1" applyBorder="1" applyAlignment="1">
      <alignment horizontal="center" vertical="center" wrapText="1"/>
    </xf>
    <xf numFmtId="1" fontId="20" fillId="6" borderId="10" xfId="0" applyNumberFormat="1" applyFont="1" applyFill="1" applyBorder="1" applyAlignment="1">
      <alignment horizontal="center" vertical="center"/>
    </xf>
    <xf numFmtId="165" fontId="18" fillId="0" borderId="23" xfId="1" applyNumberFormat="1" applyFont="1" applyBorder="1" applyAlignment="1">
      <alignment horizontal="center" vertical="center"/>
    </xf>
    <xf numFmtId="165" fontId="18" fillId="0" borderId="35" xfId="1" applyNumberFormat="1" applyFont="1" applyBorder="1" applyAlignment="1">
      <alignment horizontal="center" vertical="center"/>
    </xf>
    <xf numFmtId="165" fontId="18" fillId="2" borderId="35" xfId="1" applyNumberFormat="1" applyFont="1" applyFill="1" applyBorder="1" applyAlignment="1">
      <alignment horizontal="center" vertical="center"/>
    </xf>
    <xf numFmtId="165" fontId="18" fillId="0" borderId="29" xfId="1" applyNumberFormat="1" applyFont="1" applyBorder="1" applyAlignment="1">
      <alignment horizontal="center" vertical="center"/>
    </xf>
    <xf numFmtId="0" fontId="5" fillId="2" borderId="0" xfId="0" applyFont="1" applyFill="1"/>
    <xf numFmtId="0" fontId="14" fillId="2" borderId="0" xfId="0" applyFont="1" applyFill="1"/>
    <xf numFmtId="165" fontId="3" fillId="2" borderId="6" xfId="0" applyNumberFormat="1" applyFont="1" applyFill="1" applyBorder="1" applyAlignment="1">
      <alignment horizontal="center"/>
    </xf>
    <xf numFmtId="9" fontId="3" fillId="2" borderId="7" xfId="2" applyFont="1" applyFill="1" applyBorder="1" applyAlignment="1">
      <alignment horizontal="center"/>
    </xf>
    <xf numFmtId="165" fontId="3" fillId="2" borderId="6" xfId="1" applyNumberFormat="1" applyFont="1" applyFill="1" applyBorder="1" applyAlignment="1">
      <alignment horizontal="center"/>
    </xf>
    <xf numFmtId="165" fontId="3" fillId="2" borderId="34" xfId="0" applyNumberFormat="1" applyFont="1" applyFill="1" applyBorder="1" applyAlignment="1">
      <alignment horizontal="center"/>
    </xf>
    <xf numFmtId="166" fontId="3" fillId="2" borderId="6" xfId="0" applyNumberFormat="1" applyFont="1" applyFill="1" applyBorder="1" applyAlignment="1">
      <alignment horizontal="center"/>
    </xf>
    <xf numFmtId="165" fontId="3" fillId="2" borderId="8" xfId="1" applyNumberFormat="1" applyFont="1" applyFill="1" applyBorder="1" applyAlignment="1">
      <alignment horizontal="center"/>
    </xf>
    <xf numFmtId="165" fontId="3" fillId="2" borderId="31" xfId="0" applyNumberFormat="1" applyFont="1" applyFill="1" applyBorder="1" applyAlignment="1">
      <alignment horizontal="center"/>
    </xf>
    <xf numFmtId="9" fontId="3" fillId="2" borderId="30" xfId="2" applyFont="1" applyFill="1" applyBorder="1" applyAlignment="1">
      <alignment horizontal="center"/>
    </xf>
    <xf numFmtId="165" fontId="3" fillId="2" borderId="31" xfId="1" applyNumberFormat="1" applyFont="1" applyFill="1" applyBorder="1" applyAlignment="1">
      <alignment horizontal="center"/>
    </xf>
    <xf numFmtId="165" fontId="3" fillId="2" borderId="10" xfId="1" applyNumberFormat="1" applyFont="1" applyFill="1" applyBorder="1" applyAlignment="1">
      <alignment horizontal="center"/>
    </xf>
    <xf numFmtId="165" fontId="3" fillId="2" borderId="36" xfId="0" applyNumberFormat="1" applyFont="1" applyFill="1" applyBorder="1" applyAlignment="1">
      <alignment horizontal="center"/>
    </xf>
    <xf numFmtId="166" fontId="3" fillId="2" borderId="31" xfId="0" applyNumberFormat="1" applyFont="1" applyFill="1" applyBorder="1" applyAlignment="1">
      <alignment horizontal="center"/>
    </xf>
    <xf numFmtId="0" fontId="14" fillId="6" borderId="3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9" fillId="2" borderId="13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0" fontId="21" fillId="0" borderId="35" xfId="0" applyFont="1" applyBorder="1"/>
    <xf numFmtId="0" fontId="9" fillId="6" borderId="16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2" fillId="8" borderId="0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165" fontId="22" fillId="4" borderId="34" xfId="1" applyNumberFormat="1" applyFont="1" applyFill="1" applyBorder="1" applyAlignment="1">
      <alignment horizontal="center" vertical="center"/>
    </xf>
    <xf numFmtId="165" fontId="22" fillId="4" borderId="6" xfId="1" applyNumberFormat="1" applyFont="1" applyFill="1" applyBorder="1" applyAlignment="1">
      <alignment horizontal="center" vertical="center"/>
    </xf>
    <xf numFmtId="165" fontId="22" fillId="4" borderId="32" xfId="1" applyNumberFormat="1" applyFont="1" applyFill="1" applyBorder="1" applyAlignment="1">
      <alignment horizontal="center" vertical="center"/>
    </xf>
    <xf numFmtId="165" fontId="22" fillId="2" borderId="0" xfId="1" applyNumberFormat="1" applyFont="1" applyFill="1" applyBorder="1" applyAlignment="1">
      <alignment horizontal="center" vertical="center"/>
    </xf>
    <xf numFmtId="165" fontId="22" fillId="4" borderId="31" xfId="1" applyNumberFormat="1" applyFont="1" applyFill="1" applyBorder="1" applyAlignment="1">
      <alignment horizontal="center" vertical="center"/>
    </xf>
    <xf numFmtId="165" fontId="22" fillId="4" borderId="39" xfId="1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9" fontId="21" fillId="0" borderId="7" xfId="2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9" fontId="21" fillId="0" borderId="30" xfId="2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16" fillId="6" borderId="33" xfId="1" applyNumberFormat="1" applyFont="1" applyFill="1" applyBorder="1" applyAlignment="1">
      <alignment horizontal="center" vertical="center"/>
    </xf>
    <xf numFmtId="165" fontId="16" fillId="6" borderId="42" xfId="1" applyNumberFormat="1" applyFont="1" applyFill="1" applyBorder="1" applyAlignment="1">
      <alignment horizontal="center" vertical="center"/>
    </xf>
    <xf numFmtId="165" fontId="16" fillId="6" borderId="7" xfId="1" applyNumberFormat="1" applyFont="1" applyFill="1" applyBorder="1" applyAlignment="1">
      <alignment horizontal="center" vertical="center"/>
    </xf>
    <xf numFmtId="165" fontId="16" fillId="6" borderId="35" xfId="1" applyNumberFormat="1" applyFont="1" applyFill="1" applyBorder="1" applyAlignment="1">
      <alignment horizontal="center" vertical="center"/>
    </xf>
    <xf numFmtId="165" fontId="16" fillId="6" borderId="29" xfId="1" applyNumberFormat="1" applyFont="1" applyFill="1" applyBorder="1" applyAlignment="1">
      <alignment horizontal="center" vertical="center"/>
    </xf>
    <xf numFmtId="0" fontId="24" fillId="6" borderId="43" xfId="0" applyFont="1" applyFill="1" applyBorder="1" applyAlignment="1">
      <alignment horizontal="left" vertical="center" wrapText="1"/>
    </xf>
    <xf numFmtId="0" fontId="24" fillId="6" borderId="44" xfId="0" applyFont="1" applyFill="1" applyBorder="1" applyAlignment="1">
      <alignment horizontal="left" vertical="center" wrapText="1"/>
    </xf>
    <xf numFmtId="0" fontId="24" fillId="6" borderId="45" xfId="0" applyFont="1" applyFill="1" applyBorder="1" applyAlignment="1">
      <alignment horizontal="left" vertical="center" wrapText="1"/>
    </xf>
    <xf numFmtId="0" fontId="18" fillId="0" borderId="35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35" xfId="0" applyFont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/>
    </xf>
    <xf numFmtId="0" fontId="24" fillId="6" borderId="20" xfId="0" applyFont="1" applyFill="1" applyBorder="1" applyAlignment="1">
      <alignment horizontal="center" vertical="center" wrapText="1"/>
    </xf>
    <xf numFmtId="0" fontId="24" fillId="6" borderId="17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26" xfId="0" applyNumberFormat="1" applyFont="1" applyFill="1" applyBorder="1" applyAlignment="1">
      <alignment horizontal="center" vertical="center"/>
    </xf>
    <xf numFmtId="164" fontId="6" fillId="2" borderId="31" xfId="0" applyNumberFormat="1" applyFont="1" applyFill="1" applyBorder="1" applyAlignment="1">
      <alignment horizontal="center" vertical="center"/>
    </xf>
    <xf numFmtId="164" fontId="4" fillId="2" borderId="25" xfId="0" applyNumberFormat="1" applyFont="1" applyFill="1" applyBorder="1" applyAlignment="1">
      <alignment horizontal="center" vertical="center"/>
    </xf>
    <xf numFmtId="164" fontId="4" fillId="2" borderId="30" xfId="0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4" fontId="6" fillId="2" borderId="18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4" fontId="6" fillId="2" borderId="17" xfId="0" applyNumberFormat="1" applyFont="1" applyFill="1" applyBorder="1" applyAlignment="1">
      <alignment horizontal="center" vertical="center"/>
    </xf>
    <xf numFmtId="164" fontId="6" fillId="2" borderId="39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23" fillId="8" borderId="9" xfId="0" applyNumberFormat="1" applyFont="1" applyFill="1" applyBorder="1" applyAlignment="1">
      <alignment horizontal="center" vertical="center"/>
    </xf>
    <xf numFmtId="164" fontId="23" fillId="8" borderId="11" xfId="0" applyNumberFormat="1" applyFont="1" applyFill="1" applyBorder="1" applyAlignment="1">
      <alignment horizontal="center" vertical="center"/>
    </xf>
    <xf numFmtId="164" fontId="22" fillId="8" borderId="8" xfId="0" applyNumberFormat="1" applyFont="1" applyFill="1" applyBorder="1" applyAlignment="1">
      <alignment horizontal="center" vertical="center"/>
    </xf>
    <xf numFmtId="164" fontId="22" fillId="8" borderId="10" xfId="0" applyNumberFormat="1" applyFont="1" applyFill="1" applyBorder="1" applyAlignment="1">
      <alignment horizontal="center" vertical="center"/>
    </xf>
    <xf numFmtId="164" fontId="6" fillId="2" borderId="12" xfId="0" applyNumberFormat="1" applyFont="1" applyFill="1" applyBorder="1" applyAlignment="1">
      <alignment horizontal="center" vertical="center" wrapText="1"/>
    </xf>
    <xf numFmtId="164" fontId="6" fillId="2" borderId="19" xfId="0" applyNumberFormat="1" applyFont="1" applyFill="1" applyBorder="1" applyAlignment="1">
      <alignment horizontal="center" vertical="center" wrapText="1"/>
    </xf>
    <xf numFmtId="164" fontId="6" fillId="2" borderId="20" xfId="0" applyNumberFormat="1" applyFont="1" applyFill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horizontal="center" vertical="center"/>
    </xf>
    <xf numFmtId="164" fontId="6" fillId="2" borderId="19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164" fontId="22" fillId="8" borderId="5" xfId="0" applyNumberFormat="1" applyFont="1" applyFill="1" applyBorder="1" applyAlignment="1">
      <alignment horizontal="center" vertical="center"/>
    </xf>
    <xf numFmtId="164" fontId="22" fillId="8" borderId="24" xfId="0" applyNumberFormat="1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 wrapText="1"/>
    </xf>
    <xf numFmtId="164" fontId="22" fillId="7" borderId="8" xfId="0" applyNumberFormat="1" applyFont="1" applyFill="1" applyBorder="1" applyAlignment="1">
      <alignment horizontal="center" vertical="center"/>
    </xf>
    <xf numFmtId="164" fontId="22" fillId="7" borderId="10" xfId="0" applyNumberFormat="1" applyFont="1" applyFill="1" applyBorder="1" applyAlignment="1">
      <alignment horizontal="center" vertical="center"/>
    </xf>
    <xf numFmtId="164" fontId="23" fillId="7" borderId="9" xfId="0" applyNumberFormat="1" applyFont="1" applyFill="1" applyBorder="1" applyAlignment="1">
      <alignment horizontal="center" vertical="center"/>
    </xf>
    <xf numFmtId="164" fontId="23" fillId="7" borderId="11" xfId="0" applyNumberFormat="1" applyFont="1" applyFill="1" applyBorder="1" applyAlignment="1">
      <alignment horizontal="center" vertical="center"/>
    </xf>
    <xf numFmtId="164" fontId="22" fillId="7" borderId="5" xfId="0" applyNumberFormat="1" applyFont="1" applyFill="1" applyBorder="1" applyAlignment="1">
      <alignment horizontal="center" vertical="center"/>
    </xf>
    <xf numFmtId="164" fontId="22" fillId="7" borderId="2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22" fillId="3" borderId="40" xfId="0" applyFont="1" applyFill="1" applyBorder="1" applyAlignment="1">
      <alignment horizontal="center" vertical="center" wrapText="1"/>
    </xf>
    <xf numFmtId="0" fontId="22" fillId="3" borderId="41" xfId="0" applyFont="1" applyFill="1" applyBorder="1" applyAlignment="1">
      <alignment horizontal="center" vertical="center" wrapText="1"/>
    </xf>
    <xf numFmtId="0" fontId="22" fillId="4" borderId="22" xfId="0" applyFont="1" applyFill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2" fillId="5" borderId="23" xfId="0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21" xfId="0" applyNumberFormat="1" applyFont="1" applyFill="1" applyBorder="1" applyAlignment="1">
      <alignment horizontal="center" vertical="center"/>
    </xf>
    <xf numFmtId="164" fontId="6" fillId="2" borderId="27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</cellXfs>
  <cellStyles count="5">
    <cellStyle name="Comma" xfId="1" builtinId="3"/>
    <cellStyle name="Comma 2" xfId="3"/>
    <cellStyle name="Normal" xfId="0" builtinId="0"/>
    <cellStyle name="Percent" xfId="2" builtinId="5"/>
    <cellStyle name="Percent 2" xfId="4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11C6F7"/>
      <color rgb="FF1F3C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3200">
                <a:latin typeface="Times New Roman" panose="02020603050405020304" pitchFamily="18" charset="0"/>
                <a:cs typeface="Times New Roman" panose="02020603050405020304" pitchFamily="18" charset="0"/>
              </a:rPr>
              <a:t>BDK-Key</a:t>
            </a:r>
            <a:r>
              <a:rPr lang="en-US" sz="3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Performance Indicator </a:t>
            </a:r>
            <a:endParaRPr lang="en-US" sz="32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 sz="3200"/>
            </a:pPr>
            <a:r>
              <a:rPr lang="en-US" sz="3200">
                <a:latin typeface="Times New Roman" panose="02020603050405020304" pitchFamily="18" charset="0"/>
                <a:cs typeface="Times New Roman" panose="02020603050405020304" pitchFamily="18" charset="0"/>
              </a:rPr>
              <a:t>Cumulative Analysi</a:t>
            </a:r>
            <a:r>
              <a:rPr lang="en-US" sz="32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 </a:t>
            </a:r>
            <a:endParaRPr lang="en-US" sz="320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>
              <a:defRPr sz="3200"/>
            </a:pPr>
            <a:r>
              <a:rPr lang="en-US" sz="320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(Oct</a:t>
            </a:r>
            <a:r>
              <a:rPr lang="en-US" sz="3200" baseline="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ober 2025-Decmeber </a:t>
            </a:r>
            <a:r>
              <a:rPr lang="en-US" sz="3200">
                <a:solidFill>
                  <a:srgbClr val="0070C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</a:t>
            </a:r>
            <a:r>
              <a:rPr lang="en-US" sz="3200" baseline="0"/>
              <a:t> </a:t>
            </a:r>
          </a:p>
          <a:p>
            <a:pPr>
              <a:defRPr sz="3200"/>
            </a:pPr>
            <a:r>
              <a:rPr lang="en-US" sz="3200" baseline="0"/>
              <a:t> </a:t>
            </a:r>
            <a:endParaRPr lang="en-US" sz="3200"/>
          </a:p>
        </c:rich>
      </c:tx>
      <c:layout>
        <c:manualLayout>
          <c:xMode val="edge"/>
          <c:yMode val="edge"/>
          <c:x val="0.36078469425680387"/>
          <c:y val="2.5356471550354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166785247361039E-2"/>
          <c:y val="0.23281351296488215"/>
          <c:w val="0.92618317266061267"/>
          <c:h val="0.623242757494561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'!$B$3</c:f>
              <c:strCache>
                <c:ptCount val="1"/>
                <c:pt idx="0">
                  <c:v>Total Target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 '!$A$4:$A$14</c15:sqref>
                  </c15:fullRef>
                </c:ext>
              </c:extLst>
              <c:f>('Analysis '!$A$4:$A$10,'Analysis '!$A$12:$A$14)</c:f>
              <c:strCache>
                <c:ptCount val="10"/>
                <c:pt idx="0">
                  <c:v>ANCs</c:v>
                </c:pt>
                <c:pt idx="1">
                  <c:v>l Deliveries</c:v>
                </c:pt>
                <c:pt idx="2">
                  <c:v>PNCs</c:v>
                </c:pt>
                <c:pt idx="3">
                  <c:v>CS</c:v>
                </c:pt>
                <c:pt idx="4">
                  <c:v>CYP </c:v>
                </c:pt>
                <c:pt idx="5">
                  <c:v>Child Morbidity </c:v>
                </c:pt>
                <c:pt idx="6">
                  <c:v>GMP/IYCF</c:v>
                </c:pt>
                <c:pt idx="7">
                  <c:v>PENTA3</c:v>
                </c:pt>
                <c:pt idx="8">
                  <c:v>TT2+</c:v>
                </c:pt>
                <c:pt idx="9">
                  <c:v># of TB cases treated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'!$B$4:$B$14</c15:sqref>
                  </c15:fullRef>
                </c:ext>
              </c:extLst>
              <c:f>('Analysis '!$B$4:$B$10,'Analysis '!$B$12:$B$14)</c:f>
              <c:numCache>
                <c:formatCode>_(* #,##0_);_(* \(#,##0\);_(* "-"??_);_(@_)</c:formatCode>
                <c:ptCount val="10"/>
                <c:pt idx="0">
                  <c:v>261099.52731806785</c:v>
                </c:pt>
                <c:pt idx="1">
                  <c:v>41618.573913574219</c:v>
                </c:pt>
                <c:pt idx="2">
                  <c:v>112539.60690307617</c:v>
                </c:pt>
                <c:pt idx="3">
                  <c:v>3659.5430574417114</c:v>
                </c:pt>
                <c:pt idx="4">
                  <c:v>30840.450164794922</c:v>
                </c:pt>
                <c:pt idx="5">
                  <c:v>696187.12939453125</c:v>
                </c:pt>
                <c:pt idx="6">
                  <c:v>409052.84807071835</c:v>
                </c:pt>
                <c:pt idx="7">
                  <c:v>56004.085141114891</c:v>
                </c:pt>
                <c:pt idx="8">
                  <c:v>142374.36829866841</c:v>
                </c:pt>
                <c:pt idx="9">
                  <c:v>554.93651962280273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9-4169-970C-2F9FE5FE1529}"/>
            </c:ext>
          </c:extLst>
        </c:ser>
        <c:ser>
          <c:idx val="1"/>
          <c:order val="1"/>
          <c:tx>
            <c:strRef>
              <c:f>'Analysis '!$C$3</c:f>
              <c:strCache>
                <c:ptCount val="1"/>
                <c:pt idx="0">
                  <c:v># Performance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 '!$A$4:$A$14</c15:sqref>
                  </c15:fullRef>
                </c:ext>
              </c:extLst>
              <c:f>('Analysis '!$A$4:$A$10,'Analysis '!$A$12:$A$14)</c:f>
              <c:strCache>
                <c:ptCount val="10"/>
                <c:pt idx="0">
                  <c:v>ANCs</c:v>
                </c:pt>
                <c:pt idx="1">
                  <c:v>l Deliveries</c:v>
                </c:pt>
                <c:pt idx="2">
                  <c:v>PNCs</c:v>
                </c:pt>
                <c:pt idx="3">
                  <c:v>CS</c:v>
                </c:pt>
                <c:pt idx="4">
                  <c:v>CYP </c:v>
                </c:pt>
                <c:pt idx="5">
                  <c:v>Child Morbidity </c:v>
                </c:pt>
                <c:pt idx="6">
                  <c:v>GMP/IYCF</c:v>
                </c:pt>
                <c:pt idx="7">
                  <c:v>PENTA3</c:v>
                </c:pt>
                <c:pt idx="8">
                  <c:v>TT2+</c:v>
                </c:pt>
                <c:pt idx="9">
                  <c:v># of TB cases treated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'!$C$4:$C$14</c15:sqref>
                  </c15:fullRef>
                </c:ext>
              </c:extLst>
              <c:f>('Analysis '!$C$4:$C$10,'Analysis '!$C$12:$C$14)</c:f>
              <c:numCache>
                <c:formatCode>General</c:formatCode>
                <c:ptCount val="10"/>
                <c:pt idx="0">
                  <c:v>53968</c:v>
                </c:pt>
                <c:pt idx="1">
                  <c:v>8940</c:v>
                </c:pt>
                <c:pt idx="2">
                  <c:v>24153</c:v>
                </c:pt>
                <c:pt idx="3">
                  <c:v>824</c:v>
                </c:pt>
                <c:pt idx="4">
                  <c:v>6153</c:v>
                </c:pt>
                <c:pt idx="5">
                  <c:v>149240</c:v>
                </c:pt>
                <c:pt idx="6">
                  <c:v>83080</c:v>
                </c:pt>
                <c:pt idx="7">
                  <c:v>10668</c:v>
                </c:pt>
                <c:pt idx="8">
                  <c:v>23217</c:v>
                </c:pt>
                <c:pt idx="9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D9-4169-970C-2F9FE5FE1529}"/>
            </c:ext>
          </c:extLst>
        </c:ser>
        <c:ser>
          <c:idx val="2"/>
          <c:order val="2"/>
          <c:tx>
            <c:strRef>
              <c:f>'Analysis '!$D$3</c:f>
              <c:strCache>
                <c:ptCount val="1"/>
                <c:pt idx="0">
                  <c:v>% Reached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'Analysis '!$A$4:$A$14</c15:sqref>
                  </c15:fullRef>
                </c:ext>
              </c:extLst>
              <c:f>('Analysis '!$A$4:$A$10,'Analysis '!$A$12:$A$14)</c:f>
              <c:strCache>
                <c:ptCount val="10"/>
                <c:pt idx="0">
                  <c:v>ANCs</c:v>
                </c:pt>
                <c:pt idx="1">
                  <c:v>l Deliveries</c:v>
                </c:pt>
                <c:pt idx="2">
                  <c:v>PNCs</c:v>
                </c:pt>
                <c:pt idx="3">
                  <c:v>CS</c:v>
                </c:pt>
                <c:pt idx="4">
                  <c:v>CYP </c:v>
                </c:pt>
                <c:pt idx="5">
                  <c:v>Child Morbidity </c:v>
                </c:pt>
                <c:pt idx="6">
                  <c:v>GMP/IYCF</c:v>
                </c:pt>
                <c:pt idx="7">
                  <c:v>PENTA3</c:v>
                </c:pt>
                <c:pt idx="8">
                  <c:v>TT2+</c:v>
                </c:pt>
                <c:pt idx="9">
                  <c:v># of TB cases treated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'Analysis '!$D$4:$D$14</c15:sqref>
                  </c15:fullRef>
                </c:ext>
              </c:extLst>
              <c:f>('Analysis '!$D$4:$D$10,'Analysis '!$D$12:$D$14)</c:f>
              <c:numCache>
                <c:formatCode>0%</c:formatCode>
                <c:ptCount val="10"/>
                <c:pt idx="0">
                  <c:v>0.20669512715837637</c:v>
                </c:pt>
                <c:pt idx="1">
                  <c:v>0.21480793692174421</c:v>
                </c:pt>
                <c:pt idx="2">
                  <c:v>0.21461777470754431</c:v>
                </c:pt>
                <c:pt idx="3">
                  <c:v>0.2251647233182266</c:v>
                </c:pt>
                <c:pt idx="4">
                  <c:v>0.19951070646250779</c:v>
                </c:pt>
                <c:pt idx="5">
                  <c:v>0.21436765159647941</c:v>
                </c:pt>
                <c:pt idx="6">
                  <c:v>0.20310334078308842</c:v>
                </c:pt>
                <c:pt idx="7">
                  <c:v>0.19048610423899567</c:v>
                </c:pt>
                <c:pt idx="8">
                  <c:v>0.16307008260992678</c:v>
                </c:pt>
                <c:pt idx="9">
                  <c:v>0.23245902087626691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D9-4169-970C-2F9FE5FE15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7"/>
        <c:axId val="359061272"/>
        <c:axId val="359061664"/>
      </c:barChart>
      <c:catAx>
        <c:axId val="35906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61664"/>
        <c:crosses val="autoZero"/>
        <c:auto val="1"/>
        <c:lblAlgn val="ctr"/>
        <c:lblOffset val="100"/>
        <c:noMultiLvlLbl val="0"/>
      </c:catAx>
      <c:valAx>
        <c:axId val="3590616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6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5B9BD5">
        <a:lumMod val="20000"/>
        <a:lumOff val="8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904875</xdr:colOff>
      <xdr:row>0</xdr:row>
      <xdr:rowOff>19050</xdr:rowOff>
    </xdr:from>
    <xdr:to>
      <xdr:col>10</xdr:col>
      <xdr:colOff>65035</xdr:colOff>
      <xdr:row>1</xdr:row>
      <xdr:rowOff>419100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59B1E-0679-4323-A3F5-E34387A68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19050"/>
          <a:ext cx="2427235" cy="1228725"/>
        </a:xfrm>
        <a:prstGeom prst="rect">
          <a:avLst/>
        </a:prstGeom>
      </xdr:spPr>
    </xdr:pic>
    <xdr:clientData/>
  </xdr:twoCellAnchor>
  <xdr:twoCellAnchor>
    <xdr:from>
      <xdr:col>2</xdr:col>
      <xdr:colOff>1866900</xdr:colOff>
      <xdr:row>0</xdr:row>
      <xdr:rowOff>266700</xdr:rowOff>
    </xdr:from>
    <xdr:to>
      <xdr:col>5</xdr:col>
      <xdr:colOff>1704974</xdr:colOff>
      <xdr:row>1</xdr:row>
      <xdr:rowOff>314325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5E231A8-2CBC-EEF8-2B74-C9CCCB2F7E5E}"/>
            </a:ext>
          </a:extLst>
        </xdr:cNvPr>
        <xdr:cNvSpPr txBox="1"/>
      </xdr:nvSpPr>
      <xdr:spPr>
        <a:xfrm>
          <a:off x="5133975" y="266700"/>
          <a:ext cx="4552949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Health and social devolopment orgnization</a:t>
          </a:r>
        </a:p>
        <a:p>
          <a:pPr algn="ctr"/>
          <a:r>
            <a:rPr lang="en-US" sz="16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Health Emergency Response (HER AF2)</a:t>
          </a:r>
        </a:p>
        <a:p>
          <a:pPr algn="ctr"/>
          <a:r>
            <a:rPr lang="en-US" sz="16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BDK-M&amp;E Framework</a:t>
          </a:r>
        </a:p>
      </xdr:txBody>
    </xdr:sp>
    <xdr:clientData/>
  </xdr:twoCellAnchor>
  <xdr:twoCellAnchor editAs="oneCell">
    <xdr:from>
      <xdr:col>0</xdr:col>
      <xdr:colOff>63501</xdr:colOff>
      <xdr:row>0</xdr:row>
      <xdr:rowOff>0</xdr:rowOff>
    </xdr:from>
    <xdr:to>
      <xdr:col>0</xdr:col>
      <xdr:colOff>1349375</xdr:colOff>
      <xdr:row>1</xdr:row>
      <xdr:rowOff>370137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1" y="0"/>
          <a:ext cx="1285874" cy="11956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0</xdr:row>
      <xdr:rowOff>384175</xdr:rowOff>
    </xdr:from>
    <xdr:to>
      <xdr:col>2</xdr:col>
      <xdr:colOff>227475</xdr:colOff>
      <xdr:row>0</xdr:row>
      <xdr:rowOff>2837302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12C00-20E1-427C-B836-3FEB844F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384175"/>
          <a:ext cx="4652450" cy="2453127"/>
        </a:xfrm>
        <a:prstGeom prst="rect">
          <a:avLst/>
        </a:prstGeom>
      </xdr:spPr>
    </xdr:pic>
    <xdr:clientData/>
  </xdr:twoCellAnchor>
  <xdr:twoCellAnchor>
    <xdr:from>
      <xdr:col>15</xdr:col>
      <xdr:colOff>366347</xdr:colOff>
      <xdr:row>0</xdr:row>
      <xdr:rowOff>317500</xdr:rowOff>
    </xdr:from>
    <xdr:to>
      <xdr:col>31</xdr:col>
      <xdr:colOff>0</xdr:colOff>
      <xdr:row>1</xdr:row>
      <xdr:rowOff>533400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566895-1A84-4DBC-A7A0-D183A029F76D}"/>
            </a:ext>
          </a:extLst>
        </xdr:cNvPr>
        <xdr:cNvSpPr txBox="1"/>
      </xdr:nvSpPr>
      <xdr:spPr>
        <a:xfrm>
          <a:off x="11576539" y="317500"/>
          <a:ext cx="15655192" cy="3171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800" b="1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Health</a:t>
          </a:r>
          <a:r>
            <a:rPr lang="en-US" sz="4800" b="1" baseline="0">
              <a:solidFill>
                <a:srgbClr val="00206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and social develpment orgniation-HSDO</a:t>
          </a:r>
          <a:endParaRPr lang="en-US" sz="4800" b="1">
            <a:solidFill>
              <a:srgbClr val="00206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40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4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Health Emergency Response (HER) 2 SAFE</a:t>
          </a:r>
          <a:r>
            <a:rPr lang="en-US" sz="40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4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Project</a:t>
          </a:r>
          <a:r>
            <a:rPr lang="en-US" sz="40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/ Badakhshan Province</a:t>
          </a:r>
          <a:r>
            <a:rPr lang="en-US" sz="4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                                                                                                                                                                  Key</a:t>
          </a:r>
          <a:r>
            <a:rPr lang="en-US" sz="4000" b="1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Performance Indicators </a:t>
          </a:r>
          <a:r>
            <a:rPr lang="en-US" sz="4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(KPI) 2025&amp;26  </a:t>
          </a:r>
        </a:p>
      </xdr:txBody>
    </xdr:sp>
    <xdr:clientData/>
  </xdr:twoCellAnchor>
  <xdr:twoCellAnchor editAs="oneCell">
    <xdr:from>
      <xdr:col>11</xdr:col>
      <xdr:colOff>438149</xdr:colOff>
      <xdr:row>16</xdr:row>
      <xdr:rowOff>131286</xdr:rowOff>
    </xdr:from>
    <xdr:to>
      <xdr:col>19</xdr:col>
      <xdr:colOff>399072</xdr:colOff>
      <xdr:row>16</xdr:row>
      <xdr:rowOff>773723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18CD51-99EE-80DC-2E27-7C54B0BE4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6899" y="10818336"/>
          <a:ext cx="7334251" cy="630714"/>
        </a:xfrm>
        <a:prstGeom prst="rect">
          <a:avLst/>
        </a:prstGeom>
      </xdr:spPr>
    </xdr:pic>
    <xdr:clientData/>
  </xdr:twoCellAnchor>
  <xdr:twoCellAnchor editAs="oneCell">
    <xdr:from>
      <xdr:col>38</xdr:col>
      <xdr:colOff>701675</xdr:colOff>
      <xdr:row>0</xdr:row>
      <xdr:rowOff>1108075</xdr:rowOff>
    </xdr:from>
    <xdr:to>
      <xdr:col>41</xdr:col>
      <xdr:colOff>95251</xdr:colOff>
      <xdr:row>1</xdr:row>
      <xdr:rowOff>377881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88475" y="1108075"/>
          <a:ext cx="2403475" cy="2228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66676</xdr:colOff>
      <xdr:row>22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452E56-6393-9345-83D2-0C8CC70AD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J32"/>
  <sheetViews>
    <sheetView topLeftCell="B5" zoomScale="80" zoomScaleNormal="80" workbookViewId="0">
      <selection activeCell="C9" sqref="C9"/>
    </sheetView>
  </sheetViews>
  <sheetFormatPr defaultRowHeight="14.5"/>
  <cols>
    <col min="1" max="1" width="28.6328125" style="4" customWidth="1"/>
    <col min="2" max="2" width="19" bestFit="1" customWidth="1"/>
    <col min="3" max="3" width="43" customWidth="1"/>
    <col min="4" max="4" width="11" style="5" customWidth="1"/>
    <col min="5" max="5" width="14.6328125" customWidth="1"/>
    <col min="6" max="6" width="30.90625" customWidth="1"/>
    <col min="7" max="7" width="15.453125" style="6" customWidth="1"/>
    <col min="8" max="8" width="14.453125" style="6" customWidth="1"/>
    <col min="9" max="9" width="14.54296875" customWidth="1"/>
    <col min="10" max="10" width="18.6328125" customWidth="1"/>
  </cols>
  <sheetData>
    <row r="1" spans="1:10" ht="65.400000000000006" customHeight="1">
      <c r="A1" s="17"/>
      <c r="B1" s="18"/>
      <c r="C1" s="18"/>
      <c r="D1" s="18"/>
      <c r="E1" s="18"/>
      <c r="F1" s="18"/>
      <c r="G1" s="18"/>
      <c r="H1" s="18"/>
      <c r="I1" s="18"/>
      <c r="J1" s="18"/>
    </row>
    <row r="2" spans="1:10" ht="33.6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</row>
    <row r="3" spans="1:10" s="3" customFormat="1" ht="45.5" thickBot="1">
      <c r="A3" s="38" t="s">
        <v>33</v>
      </c>
      <c r="B3" s="39" t="s">
        <v>34</v>
      </c>
      <c r="C3" s="39" t="s">
        <v>61</v>
      </c>
      <c r="D3" s="39" t="s">
        <v>60</v>
      </c>
      <c r="E3" s="39" t="s">
        <v>71</v>
      </c>
      <c r="F3" s="39" t="s">
        <v>59</v>
      </c>
      <c r="G3" s="39" t="s">
        <v>25</v>
      </c>
      <c r="H3" s="39" t="s">
        <v>26</v>
      </c>
      <c r="I3" s="39" t="s">
        <v>62</v>
      </c>
      <c r="J3" s="40" t="s">
        <v>27</v>
      </c>
    </row>
    <row r="4" spans="1:10" ht="52.5">
      <c r="A4" s="97" t="s">
        <v>28</v>
      </c>
      <c r="B4" s="31" t="s">
        <v>3</v>
      </c>
      <c r="C4" s="31" t="s">
        <v>35</v>
      </c>
      <c r="D4" s="42">
        <v>64328</v>
      </c>
      <c r="E4" s="42">
        <v>261099.52731806785</v>
      </c>
      <c r="F4" s="12" t="s">
        <v>36</v>
      </c>
      <c r="G4" s="11" t="s">
        <v>37</v>
      </c>
      <c r="H4" s="11" t="s">
        <v>29</v>
      </c>
      <c r="I4" s="11" t="s">
        <v>30</v>
      </c>
      <c r="J4" s="13" t="s">
        <v>38</v>
      </c>
    </row>
    <row r="5" spans="1:10" ht="52.5">
      <c r="A5" s="96"/>
      <c r="B5" s="32" t="s">
        <v>4</v>
      </c>
      <c r="C5" s="32" t="s">
        <v>39</v>
      </c>
      <c r="D5" s="43">
        <v>11797</v>
      </c>
      <c r="E5" s="43">
        <v>41618.573913574219</v>
      </c>
      <c r="F5" s="10" t="s">
        <v>36</v>
      </c>
      <c r="G5" s="9" t="s">
        <v>37</v>
      </c>
      <c r="H5" s="9" t="s">
        <v>29</v>
      </c>
      <c r="I5" s="9" t="s">
        <v>30</v>
      </c>
      <c r="J5" s="14" t="s">
        <v>38</v>
      </c>
    </row>
    <row r="6" spans="1:10" ht="34.25" customHeight="1">
      <c r="A6" s="96"/>
      <c r="B6" s="33" t="s">
        <v>5</v>
      </c>
      <c r="C6" s="32" t="s">
        <v>40</v>
      </c>
      <c r="D6" s="43">
        <v>28208</v>
      </c>
      <c r="E6" s="43">
        <v>112539.60690307617</v>
      </c>
      <c r="F6" s="95" t="s">
        <v>36</v>
      </c>
      <c r="G6" s="9" t="s">
        <v>37</v>
      </c>
      <c r="H6" s="9" t="s">
        <v>29</v>
      </c>
      <c r="I6" s="9" t="s">
        <v>30</v>
      </c>
      <c r="J6" s="14" t="s">
        <v>38</v>
      </c>
    </row>
    <row r="7" spans="1:10" ht="34.25" customHeight="1">
      <c r="A7" s="96"/>
      <c r="B7" s="34" t="s">
        <v>6</v>
      </c>
      <c r="C7" s="32" t="s">
        <v>41</v>
      </c>
      <c r="D7" s="44">
        <v>369</v>
      </c>
      <c r="E7" s="44">
        <v>3659.5430574417114</v>
      </c>
      <c r="F7" s="95"/>
      <c r="G7" s="9" t="s">
        <v>37</v>
      </c>
      <c r="H7" s="9" t="s">
        <v>29</v>
      </c>
      <c r="I7" s="9" t="s">
        <v>30</v>
      </c>
      <c r="J7" s="14" t="s">
        <v>38</v>
      </c>
    </row>
    <row r="8" spans="1:10" ht="34.25" customHeight="1">
      <c r="A8" s="96"/>
      <c r="B8" s="33" t="s">
        <v>7</v>
      </c>
      <c r="C8" s="32" t="s">
        <v>44</v>
      </c>
      <c r="D8" s="44">
        <v>16682</v>
      </c>
      <c r="E8" s="44">
        <v>30840.450164794922</v>
      </c>
      <c r="F8" s="95"/>
      <c r="G8" s="9" t="s">
        <v>37</v>
      </c>
      <c r="H8" s="9" t="s">
        <v>29</v>
      </c>
      <c r="I8" s="9" t="s">
        <v>30</v>
      </c>
      <c r="J8" s="14" t="s">
        <v>38</v>
      </c>
    </row>
    <row r="9" spans="1:10" ht="39" customHeight="1">
      <c r="A9" s="60" t="s">
        <v>42</v>
      </c>
      <c r="B9" s="34" t="s">
        <v>8</v>
      </c>
      <c r="C9" s="32" t="s">
        <v>43</v>
      </c>
      <c r="D9" s="44">
        <v>2191</v>
      </c>
      <c r="E9" s="44">
        <v>696187.12939453125</v>
      </c>
      <c r="F9" s="95"/>
      <c r="G9" s="9" t="s">
        <v>37</v>
      </c>
      <c r="H9" s="9" t="s">
        <v>29</v>
      </c>
      <c r="I9" s="9" t="s">
        <v>30</v>
      </c>
      <c r="J9" s="14" t="s">
        <v>38</v>
      </c>
    </row>
    <row r="10" spans="1:10" ht="38.4" customHeight="1">
      <c r="A10" s="96" t="s">
        <v>45</v>
      </c>
      <c r="B10" s="34" t="s">
        <v>9</v>
      </c>
      <c r="C10" s="32" t="s">
        <v>46</v>
      </c>
      <c r="D10" s="43">
        <v>375918</v>
      </c>
      <c r="E10" s="43">
        <v>409052.84807071835</v>
      </c>
      <c r="F10" s="95" t="s">
        <v>36</v>
      </c>
      <c r="G10" s="9" t="s">
        <v>37</v>
      </c>
      <c r="H10" s="9" t="s">
        <v>29</v>
      </c>
      <c r="I10" s="9" t="s">
        <v>30</v>
      </c>
      <c r="J10" s="14" t="s">
        <v>38</v>
      </c>
    </row>
    <row r="11" spans="1:10" ht="38.4" customHeight="1">
      <c r="A11" s="96"/>
      <c r="B11" s="32" t="s">
        <v>11</v>
      </c>
      <c r="C11" s="32" t="s">
        <v>47</v>
      </c>
      <c r="D11" s="43">
        <v>54601</v>
      </c>
      <c r="E11" s="43">
        <v>56004.085141114891</v>
      </c>
      <c r="F11" s="95"/>
      <c r="G11" s="9" t="s">
        <v>37</v>
      </c>
      <c r="H11" s="9" t="s">
        <v>29</v>
      </c>
      <c r="I11" s="9" t="s">
        <v>30</v>
      </c>
      <c r="J11" s="14" t="s">
        <v>38</v>
      </c>
    </row>
    <row r="12" spans="1:10" ht="55.25" customHeight="1">
      <c r="A12" s="37" t="s">
        <v>48</v>
      </c>
      <c r="B12" s="32" t="s">
        <v>12</v>
      </c>
      <c r="C12" s="32" t="s">
        <v>49</v>
      </c>
      <c r="D12" s="43">
        <v>110069</v>
      </c>
      <c r="E12" s="43">
        <v>142374.36829866841</v>
      </c>
      <c r="F12" s="93" t="s">
        <v>36</v>
      </c>
      <c r="G12" s="9" t="s">
        <v>37</v>
      </c>
      <c r="H12" s="9" t="s">
        <v>29</v>
      </c>
      <c r="I12" s="9" t="s">
        <v>30</v>
      </c>
      <c r="J12" s="14" t="s">
        <v>38</v>
      </c>
    </row>
    <row r="13" spans="1:10" ht="27" customHeight="1" thickBot="1">
      <c r="A13" s="41" t="s">
        <v>51</v>
      </c>
      <c r="B13" s="35" t="s">
        <v>13</v>
      </c>
      <c r="C13" s="35" t="s">
        <v>50</v>
      </c>
      <c r="D13" s="45">
        <v>202</v>
      </c>
      <c r="E13" s="45">
        <v>554.93651962280273</v>
      </c>
      <c r="F13" s="94"/>
      <c r="G13" s="15" t="s">
        <v>37</v>
      </c>
      <c r="H13" s="15" t="s">
        <v>29</v>
      </c>
      <c r="I13" s="15" t="s">
        <v>30</v>
      </c>
      <c r="J13" s="16" t="s">
        <v>38</v>
      </c>
    </row>
    <row r="14" spans="1:10" ht="14.4" customHeight="1">
      <c r="A14"/>
      <c r="D14"/>
      <c r="G14"/>
      <c r="H14"/>
    </row>
    <row r="15" spans="1:10">
      <c r="A15"/>
      <c r="D15"/>
      <c r="G15"/>
      <c r="H15"/>
    </row>
    <row r="16" spans="1:10">
      <c r="A16"/>
      <c r="D16"/>
      <c r="G16"/>
      <c r="H16"/>
    </row>
    <row r="17" spans="1:8">
      <c r="A17"/>
      <c r="D17"/>
      <c r="G17"/>
      <c r="H17"/>
    </row>
    <row r="18" spans="1:8">
      <c r="A18"/>
      <c r="D18"/>
      <c r="G18"/>
      <c r="H18"/>
    </row>
    <row r="19" spans="1:8">
      <c r="A19"/>
      <c r="D19"/>
      <c r="G19"/>
      <c r="H19"/>
    </row>
    <row r="20" spans="1:8">
      <c r="A20"/>
      <c r="D20"/>
      <c r="G20"/>
      <c r="H20"/>
    </row>
    <row r="21" spans="1:8">
      <c r="A21"/>
      <c r="D21"/>
      <c r="G21"/>
      <c r="H21"/>
    </row>
    <row r="22" spans="1:8">
      <c r="A22"/>
      <c r="D22"/>
      <c r="G22"/>
      <c r="H22"/>
    </row>
    <row r="23" spans="1:8">
      <c r="A23"/>
      <c r="D23"/>
      <c r="G23"/>
      <c r="H23"/>
    </row>
    <row r="24" spans="1:8">
      <c r="A24"/>
      <c r="D24"/>
      <c r="G24"/>
      <c r="H24"/>
    </row>
    <row r="25" spans="1:8">
      <c r="A25"/>
      <c r="D25"/>
      <c r="G25"/>
      <c r="H25"/>
    </row>
    <row r="26" spans="1:8">
      <c r="A26"/>
      <c r="D26"/>
      <c r="G26"/>
      <c r="H26"/>
    </row>
    <row r="27" spans="1:8">
      <c r="A27"/>
      <c r="D27"/>
      <c r="G27"/>
      <c r="H27"/>
    </row>
    <row r="28" spans="1:8">
      <c r="A28"/>
      <c r="D28"/>
      <c r="G28"/>
      <c r="H28"/>
    </row>
    <row r="29" spans="1:8">
      <c r="A29"/>
      <c r="D29"/>
      <c r="G29"/>
      <c r="H29"/>
    </row>
    <row r="30" spans="1:8">
      <c r="A30"/>
      <c r="D30"/>
      <c r="G30"/>
      <c r="H30"/>
    </row>
    <row r="31" spans="1:8">
      <c r="A31"/>
      <c r="D31"/>
      <c r="G31"/>
      <c r="H31"/>
    </row>
    <row r="32" spans="1:8" ht="41.4" customHeight="1"/>
  </sheetData>
  <mergeCells count="5">
    <mergeCell ref="F12:F13"/>
    <mergeCell ref="F6:F9"/>
    <mergeCell ref="A10:A11"/>
    <mergeCell ref="F10:F11"/>
    <mergeCell ref="A4:A8"/>
  </mergeCells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CE24"/>
  <sheetViews>
    <sheetView tabSelected="1" view="pageBreakPreview" zoomScale="26" zoomScaleNormal="70" zoomScaleSheetLayoutView="26" workbookViewId="0">
      <selection activeCell="P5" sqref="P5:P6"/>
    </sheetView>
  </sheetViews>
  <sheetFormatPr defaultRowHeight="14.5"/>
  <cols>
    <col min="2" max="2" width="66.453125" customWidth="1"/>
    <col min="3" max="3" width="39.36328125" style="5" customWidth="1"/>
    <col min="4" max="4" width="45.26953125" customWidth="1"/>
    <col min="5" max="5" width="33.08984375" customWidth="1"/>
    <col min="6" max="11" width="19.453125" hidden="1" customWidth="1"/>
    <col min="12" max="12" width="6.1796875" customWidth="1"/>
    <col min="13" max="42" width="14.36328125" customWidth="1"/>
    <col min="45" max="47" width="17.453125" customWidth="1"/>
    <col min="48" max="49" width="13.81640625" customWidth="1"/>
    <col min="50" max="50" width="5.36328125" customWidth="1"/>
    <col min="51" max="53" width="16" customWidth="1"/>
    <col min="54" max="55" width="13.81640625" customWidth="1"/>
    <col min="56" max="56" width="5.81640625" customWidth="1"/>
    <col min="57" max="59" width="18.36328125" customWidth="1"/>
    <col min="60" max="61" width="13.81640625" customWidth="1"/>
    <col min="62" max="62" width="5.54296875" customWidth="1"/>
    <col min="63" max="65" width="18.90625" customWidth="1"/>
    <col min="66" max="66" width="14.54296875" customWidth="1"/>
    <col min="67" max="67" width="14.08984375" customWidth="1"/>
    <col min="68" max="72" width="17.81640625" customWidth="1"/>
    <col min="73" max="73" width="9" customWidth="1"/>
    <col min="74" max="74" width="19.6328125" customWidth="1"/>
    <col min="75" max="78" width="15.1796875" customWidth="1"/>
    <col min="80" max="81" width="28.453125" customWidth="1"/>
  </cols>
  <sheetData>
    <row r="1" spans="1:83" ht="233" customHeight="1"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61"/>
      <c r="AN1" s="61"/>
      <c r="AO1" s="61"/>
      <c r="AP1" s="6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 ht="75.650000000000006" customHeight="1" thickBot="1">
      <c r="B2" s="142" t="s">
        <v>14</v>
      </c>
      <c r="C2" s="142"/>
      <c r="D2" s="142"/>
      <c r="E2" s="142"/>
      <c r="F2" s="142"/>
      <c r="G2" s="142"/>
      <c r="H2" s="142"/>
      <c r="I2" s="142"/>
      <c r="J2" s="142"/>
      <c r="K2" s="142"/>
      <c r="L2" s="143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64"/>
      <c r="AN2" s="64"/>
      <c r="AO2" s="64"/>
      <c r="AP2" s="64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2"/>
      <c r="BW2" s="1"/>
      <c r="BX2" s="1"/>
      <c r="BY2" s="1"/>
      <c r="BZ2" s="1"/>
      <c r="CA2" s="1"/>
      <c r="CB2" s="1"/>
      <c r="CC2" s="1"/>
      <c r="CD2" s="1"/>
      <c r="CE2" s="1"/>
    </row>
    <row r="3" spans="1:83" ht="80" customHeight="1" thickBot="1">
      <c r="A3" s="98" t="s">
        <v>72</v>
      </c>
      <c r="B3" s="99" t="s">
        <v>0</v>
      </c>
      <c r="C3" s="102" t="s">
        <v>15</v>
      </c>
      <c r="D3" s="66"/>
      <c r="E3" s="102" t="s">
        <v>1</v>
      </c>
      <c r="F3" s="69"/>
      <c r="G3" s="69"/>
      <c r="H3" s="69"/>
      <c r="I3" s="69"/>
      <c r="J3" s="69"/>
      <c r="K3" s="69"/>
      <c r="L3" s="70"/>
      <c r="M3" s="133">
        <v>2025</v>
      </c>
      <c r="N3" s="134"/>
      <c r="O3" s="134"/>
      <c r="P3" s="134"/>
      <c r="Q3" s="134"/>
      <c r="R3" s="134"/>
      <c r="S3" s="151">
        <v>2026</v>
      </c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71"/>
      <c r="AN3" s="71"/>
      <c r="AO3" s="71"/>
      <c r="AP3" s="71"/>
      <c r="AQ3" s="1"/>
      <c r="AR3" s="1"/>
      <c r="AS3" s="119" t="s">
        <v>64</v>
      </c>
      <c r="AT3" s="120"/>
      <c r="AU3" s="120"/>
      <c r="AV3" s="120"/>
      <c r="AW3" s="120"/>
      <c r="AX3" s="62"/>
      <c r="AY3" s="112" t="s">
        <v>65</v>
      </c>
      <c r="AZ3" s="112"/>
      <c r="BA3" s="112"/>
      <c r="BB3" s="112"/>
      <c r="BC3" s="112"/>
      <c r="BD3" s="63"/>
      <c r="BE3" s="112" t="s">
        <v>66</v>
      </c>
      <c r="BF3" s="112"/>
      <c r="BG3" s="112"/>
      <c r="BH3" s="112"/>
      <c r="BI3" s="112"/>
      <c r="BJ3" s="63"/>
      <c r="BK3" s="112" t="s">
        <v>67</v>
      </c>
      <c r="BL3" s="112"/>
      <c r="BM3" s="112"/>
      <c r="BN3" s="112"/>
      <c r="BO3" s="112"/>
      <c r="BP3" s="112" t="s">
        <v>68</v>
      </c>
      <c r="BQ3" s="112"/>
      <c r="BR3" s="112"/>
      <c r="BS3" s="112"/>
      <c r="BT3" s="112"/>
      <c r="BU3" s="46"/>
      <c r="BV3" s="111" t="s">
        <v>69</v>
      </c>
      <c r="BW3" s="112"/>
      <c r="BX3" s="112"/>
      <c r="BY3" s="112"/>
      <c r="BZ3" s="113"/>
      <c r="CA3" s="1"/>
      <c r="CB3" s="158" t="s">
        <v>63</v>
      </c>
      <c r="CC3" s="159"/>
      <c r="CD3" s="47"/>
      <c r="CE3" s="1"/>
    </row>
    <row r="4" spans="1:83" ht="80" customHeight="1" thickBot="1">
      <c r="A4" s="98"/>
      <c r="B4" s="100"/>
      <c r="C4" s="103"/>
      <c r="D4" s="67" t="s">
        <v>70</v>
      </c>
      <c r="E4" s="103"/>
      <c r="F4" s="144" t="s">
        <v>16</v>
      </c>
      <c r="G4" s="144"/>
      <c r="H4" s="145"/>
      <c r="I4" s="146" t="s">
        <v>17</v>
      </c>
      <c r="J4" s="144"/>
      <c r="K4" s="144"/>
      <c r="L4" s="72"/>
      <c r="M4" s="139">
        <v>45931</v>
      </c>
      <c r="N4" s="140"/>
      <c r="O4" s="139">
        <v>45962</v>
      </c>
      <c r="P4" s="140"/>
      <c r="Q4" s="139">
        <v>45992</v>
      </c>
      <c r="R4" s="140"/>
      <c r="S4" s="139">
        <v>46023</v>
      </c>
      <c r="T4" s="140"/>
      <c r="U4" s="139">
        <v>46054</v>
      </c>
      <c r="V4" s="140"/>
      <c r="W4" s="139">
        <v>46082</v>
      </c>
      <c r="X4" s="140"/>
      <c r="Y4" s="139">
        <v>46113</v>
      </c>
      <c r="Z4" s="140"/>
      <c r="AA4" s="139">
        <v>46143</v>
      </c>
      <c r="AB4" s="140"/>
      <c r="AC4" s="139">
        <v>46174</v>
      </c>
      <c r="AD4" s="140"/>
      <c r="AE4" s="139">
        <v>46204</v>
      </c>
      <c r="AF4" s="140"/>
      <c r="AG4" s="131">
        <v>46235</v>
      </c>
      <c r="AH4" s="132"/>
      <c r="AI4" s="131">
        <v>46266</v>
      </c>
      <c r="AJ4" s="132"/>
      <c r="AK4" s="131">
        <v>46296</v>
      </c>
      <c r="AL4" s="132"/>
      <c r="AM4" s="131">
        <v>46327</v>
      </c>
      <c r="AN4" s="132"/>
      <c r="AO4" s="131">
        <v>46357</v>
      </c>
      <c r="AP4" s="132"/>
      <c r="AQ4" s="1"/>
      <c r="AR4" s="1"/>
      <c r="AS4" s="125" t="s">
        <v>54</v>
      </c>
      <c r="AT4" s="126"/>
      <c r="AU4" s="127"/>
      <c r="AV4" s="105" t="s">
        <v>31</v>
      </c>
      <c r="AW4" s="106"/>
      <c r="AX4" s="1"/>
      <c r="AY4" s="128" t="s">
        <v>57</v>
      </c>
      <c r="AZ4" s="129"/>
      <c r="BA4" s="130"/>
      <c r="BB4" s="105" t="s">
        <v>31</v>
      </c>
      <c r="BC4" s="106"/>
      <c r="BD4" s="1"/>
      <c r="BE4" s="128" t="s">
        <v>56</v>
      </c>
      <c r="BF4" s="129"/>
      <c r="BG4" s="130"/>
      <c r="BH4" s="105" t="s">
        <v>31</v>
      </c>
      <c r="BI4" s="106"/>
      <c r="BJ4" s="1"/>
      <c r="BK4" s="128" t="s">
        <v>55</v>
      </c>
      <c r="BL4" s="129"/>
      <c r="BM4" s="130"/>
      <c r="BN4" s="105" t="s">
        <v>31</v>
      </c>
      <c r="BO4" s="106"/>
      <c r="BP4" s="114" t="s">
        <v>58</v>
      </c>
      <c r="BQ4" s="115"/>
      <c r="BR4" s="116"/>
      <c r="BS4" s="117" t="s">
        <v>31</v>
      </c>
      <c r="BT4" s="118"/>
      <c r="BU4" s="1"/>
      <c r="BV4" s="164" t="s">
        <v>24</v>
      </c>
      <c r="BW4" s="162" t="s">
        <v>32</v>
      </c>
      <c r="BX4" s="163"/>
      <c r="BY4" s="105" t="s">
        <v>31</v>
      </c>
      <c r="BZ4" s="106"/>
      <c r="CA4" s="1"/>
      <c r="CB4" s="160"/>
      <c r="CC4" s="161"/>
      <c r="CD4" s="1"/>
      <c r="CE4" s="1"/>
    </row>
    <row r="5" spans="1:83" ht="80" customHeight="1">
      <c r="A5" s="98"/>
      <c r="B5" s="100"/>
      <c r="C5" s="103"/>
      <c r="D5" s="67"/>
      <c r="E5" s="103"/>
      <c r="F5" s="149" t="s">
        <v>18</v>
      </c>
      <c r="G5" s="152" t="s">
        <v>19</v>
      </c>
      <c r="H5" s="154" t="s">
        <v>20</v>
      </c>
      <c r="I5" s="156" t="s">
        <v>18</v>
      </c>
      <c r="J5" s="152" t="s">
        <v>19</v>
      </c>
      <c r="K5" s="147" t="s">
        <v>20</v>
      </c>
      <c r="L5" s="72"/>
      <c r="M5" s="135" t="s">
        <v>21</v>
      </c>
      <c r="N5" s="137" t="s">
        <v>22</v>
      </c>
      <c r="O5" s="135" t="s">
        <v>21</v>
      </c>
      <c r="P5" s="137" t="s">
        <v>22</v>
      </c>
      <c r="Q5" s="135" t="s">
        <v>21</v>
      </c>
      <c r="R5" s="137" t="s">
        <v>22</v>
      </c>
      <c r="S5" s="135" t="s">
        <v>21</v>
      </c>
      <c r="T5" s="137" t="s">
        <v>22</v>
      </c>
      <c r="U5" s="135" t="s">
        <v>21</v>
      </c>
      <c r="V5" s="137" t="s">
        <v>22</v>
      </c>
      <c r="W5" s="135" t="s">
        <v>21</v>
      </c>
      <c r="X5" s="137" t="s">
        <v>22</v>
      </c>
      <c r="Y5" s="135" t="s">
        <v>21</v>
      </c>
      <c r="Z5" s="137" t="s">
        <v>22</v>
      </c>
      <c r="AA5" s="135" t="s">
        <v>21</v>
      </c>
      <c r="AB5" s="137" t="s">
        <v>22</v>
      </c>
      <c r="AC5" s="135" t="s">
        <v>21</v>
      </c>
      <c r="AD5" s="137" t="s">
        <v>22</v>
      </c>
      <c r="AE5" s="135" t="s">
        <v>21</v>
      </c>
      <c r="AF5" s="137" t="s">
        <v>22</v>
      </c>
      <c r="AG5" s="123" t="s">
        <v>21</v>
      </c>
      <c r="AH5" s="121" t="s">
        <v>22</v>
      </c>
      <c r="AI5" s="123" t="s">
        <v>21</v>
      </c>
      <c r="AJ5" s="121" t="s">
        <v>22</v>
      </c>
      <c r="AK5" s="123" t="s">
        <v>21</v>
      </c>
      <c r="AL5" s="121" t="s">
        <v>22</v>
      </c>
      <c r="AM5" s="123" t="s">
        <v>21</v>
      </c>
      <c r="AN5" s="121" t="s">
        <v>22</v>
      </c>
      <c r="AO5" s="123" t="s">
        <v>21</v>
      </c>
      <c r="AP5" s="121" t="s">
        <v>22</v>
      </c>
      <c r="AQ5" s="1"/>
      <c r="AR5" s="1"/>
      <c r="AS5" s="107" t="s">
        <v>23</v>
      </c>
      <c r="AT5" s="107" t="s">
        <v>21</v>
      </c>
      <c r="AU5" s="109" t="s">
        <v>22</v>
      </c>
      <c r="AV5" s="107" t="s">
        <v>21</v>
      </c>
      <c r="AW5" s="109" t="s">
        <v>22</v>
      </c>
      <c r="AX5" s="1"/>
      <c r="AY5" s="107" t="s">
        <v>23</v>
      </c>
      <c r="AZ5" s="107" t="s">
        <v>21</v>
      </c>
      <c r="BA5" s="109" t="s">
        <v>22</v>
      </c>
      <c r="BB5" s="107" t="s">
        <v>21</v>
      </c>
      <c r="BC5" s="109" t="s">
        <v>22</v>
      </c>
      <c r="BD5" s="1"/>
      <c r="BE5" s="107" t="s">
        <v>23</v>
      </c>
      <c r="BF5" s="107" t="s">
        <v>21</v>
      </c>
      <c r="BG5" s="109" t="s">
        <v>22</v>
      </c>
      <c r="BH5" s="107" t="s">
        <v>21</v>
      </c>
      <c r="BI5" s="109" t="s">
        <v>22</v>
      </c>
      <c r="BJ5" s="1"/>
      <c r="BK5" s="107" t="s">
        <v>23</v>
      </c>
      <c r="BL5" s="107" t="s">
        <v>21</v>
      </c>
      <c r="BM5" s="109" t="s">
        <v>22</v>
      </c>
      <c r="BN5" s="107" t="s">
        <v>21</v>
      </c>
      <c r="BO5" s="109" t="s">
        <v>22</v>
      </c>
      <c r="BP5" s="107" t="s">
        <v>23</v>
      </c>
      <c r="BQ5" s="107" t="s">
        <v>21</v>
      </c>
      <c r="BR5" s="109" t="s">
        <v>22</v>
      </c>
      <c r="BS5" s="107" t="s">
        <v>21</v>
      </c>
      <c r="BT5" s="109" t="s">
        <v>22</v>
      </c>
      <c r="BU5" s="1"/>
      <c r="BV5" s="165"/>
      <c r="BW5" s="107" t="s">
        <v>21</v>
      </c>
      <c r="BX5" s="109" t="s">
        <v>22</v>
      </c>
      <c r="BY5" s="107" t="s">
        <v>21</v>
      </c>
      <c r="BZ5" s="109" t="s">
        <v>22</v>
      </c>
      <c r="CA5" s="1"/>
      <c r="CB5" s="107" t="s">
        <v>21</v>
      </c>
      <c r="CC5" s="109" t="s">
        <v>22</v>
      </c>
      <c r="CD5" s="1"/>
      <c r="CE5" s="1"/>
    </row>
    <row r="6" spans="1:83" ht="18.5" customHeight="1" thickBot="1">
      <c r="A6" s="65"/>
      <c r="B6" s="101"/>
      <c r="C6" s="104"/>
      <c r="D6" s="68"/>
      <c r="E6" s="104"/>
      <c r="F6" s="150"/>
      <c r="G6" s="153"/>
      <c r="H6" s="155"/>
      <c r="I6" s="157"/>
      <c r="J6" s="153"/>
      <c r="K6" s="148"/>
      <c r="L6" s="72"/>
      <c r="M6" s="136"/>
      <c r="N6" s="138"/>
      <c r="O6" s="136"/>
      <c r="P6" s="138"/>
      <c r="Q6" s="136"/>
      <c r="R6" s="138"/>
      <c r="S6" s="136"/>
      <c r="T6" s="138"/>
      <c r="U6" s="136"/>
      <c r="V6" s="138"/>
      <c r="W6" s="136"/>
      <c r="X6" s="138"/>
      <c r="Y6" s="136"/>
      <c r="Z6" s="138"/>
      <c r="AA6" s="136"/>
      <c r="AB6" s="138"/>
      <c r="AC6" s="136"/>
      <c r="AD6" s="138"/>
      <c r="AE6" s="136"/>
      <c r="AF6" s="138"/>
      <c r="AG6" s="124"/>
      <c r="AH6" s="122"/>
      <c r="AI6" s="124"/>
      <c r="AJ6" s="122"/>
      <c r="AK6" s="124"/>
      <c r="AL6" s="122"/>
      <c r="AM6" s="124"/>
      <c r="AN6" s="122"/>
      <c r="AO6" s="124"/>
      <c r="AP6" s="122"/>
      <c r="AQ6" s="1"/>
      <c r="AR6" s="1"/>
      <c r="AS6" s="108"/>
      <c r="AT6" s="108"/>
      <c r="AU6" s="110"/>
      <c r="AV6" s="108"/>
      <c r="AW6" s="110"/>
      <c r="AX6" s="1"/>
      <c r="AY6" s="108"/>
      <c r="AZ6" s="108"/>
      <c r="BA6" s="110"/>
      <c r="BB6" s="108"/>
      <c r="BC6" s="110"/>
      <c r="BD6" s="1"/>
      <c r="BE6" s="108"/>
      <c r="BF6" s="108"/>
      <c r="BG6" s="110"/>
      <c r="BH6" s="108"/>
      <c r="BI6" s="110"/>
      <c r="BJ6" s="1"/>
      <c r="BK6" s="108"/>
      <c r="BL6" s="108"/>
      <c r="BM6" s="110"/>
      <c r="BN6" s="108"/>
      <c r="BO6" s="110"/>
      <c r="BP6" s="108"/>
      <c r="BQ6" s="108"/>
      <c r="BR6" s="110"/>
      <c r="BS6" s="108"/>
      <c r="BT6" s="110"/>
      <c r="BU6" s="1"/>
      <c r="BV6" s="166"/>
      <c r="BW6" s="108"/>
      <c r="BX6" s="110"/>
      <c r="BY6" s="108"/>
      <c r="BZ6" s="110"/>
      <c r="CA6" s="1"/>
      <c r="CB6" s="108"/>
      <c r="CC6" s="110"/>
      <c r="CD6" s="1"/>
      <c r="CE6" s="1"/>
    </row>
    <row r="7" spans="1:83" ht="150" customHeight="1">
      <c r="A7" s="65">
        <v>1</v>
      </c>
      <c r="B7" s="90" t="s">
        <v>3</v>
      </c>
      <c r="C7" s="85">
        <v>261099.52731806785</v>
      </c>
      <c r="D7" s="86">
        <f>C7/5</f>
        <v>52219.90546361357</v>
      </c>
      <c r="E7" s="87">
        <f>C7/15</f>
        <v>17406.635154537857</v>
      </c>
      <c r="F7" s="73" t="e">
        <f>#REF!/11*2</f>
        <v>#REF!</v>
      </c>
      <c r="G7" s="74" t="e">
        <f>#REF!/11*2</f>
        <v>#REF!</v>
      </c>
      <c r="H7" s="74">
        <f t="shared" ref="H7:H16" si="0">C7/11*2</f>
        <v>47472.641330557788</v>
      </c>
      <c r="I7" s="74" t="e">
        <f>#REF!/11*3</f>
        <v>#REF!</v>
      </c>
      <c r="J7" s="74" t="e">
        <f>#REF!/11*3</f>
        <v>#REF!</v>
      </c>
      <c r="K7" s="75">
        <f t="shared" ref="K7:K16" si="1">C7/11*3</f>
        <v>71208.961995836682</v>
      </c>
      <c r="L7" s="76"/>
      <c r="M7" s="79">
        <v>18674</v>
      </c>
      <c r="N7" s="80">
        <f t="shared" ref="N7:N16" si="2">M7/E7</f>
        <v>1.0728092956628521</v>
      </c>
      <c r="O7" s="79">
        <v>17615</v>
      </c>
      <c r="P7" s="80">
        <f>O7/E7</f>
        <v>1.0119704264271789</v>
      </c>
      <c r="Q7" s="79">
        <v>17679</v>
      </c>
      <c r="R7" s="80">
        <f>Q7/E7</f>
        <v>1.0156471852856144</v>
      </c>
      <c r="S7" s="79"/>
      <c r="T7" s="80">
        <f>S7/E7</f>
        <v>0</v>
      </c>
      <c r="U7" s="79"/>
      <c r="V7" s="80">
        <f>U7/E7</f>
        <v>0</v>
      </c>
      <c r="W7" s="79"/>
      <c r="X7" s="80">
        <f>W7/E7</f>
        <v>0</v>
      </c>
      <c r="Y7" s="79"/>
      <c r="Z7" s="80">
        <f>Y7/E7</f>
        <v>0</v>
      </c>
      <c r="AA7" s="79"/>
      <c r="AB7" s="80">
        <f>AA7/E7</f>
        <v>0</v>
      </c>
      <c r="AC7" s="79"/>
      <c r="AD7" s="80">
        <f>AC7/E7</f>
        <v>0</v>
      </c>
      <c r="AE7" s="79"/>
      <c r="AF7" s="80">
        <f>AE7/E7</f>
        <v>0</v>
      </c>
      <c r="AG7" s="79"/>
      <c r="AH7" s="80">
        <f>AG7/E7</f>
        <v>0</v>
      </c>
      <c r="AI7" s="79"/>
      <c r="AJ7" s="80">
        <f>AI7/E7</f>
        <v>0</v>
      </c>
      <c r="AK7" s="79"/>
      <c r="AL7" s="80">
        <f t="shared" ref="AL7:AL16" si="3">AK7/E7</f>
        <v>0</v>
      </c>
      <c r="AM7" s="79"/>
      <c r="AN7" s="80">
        <f>AM7/K7</f>
        <v>0</v>
      </c>
      <c r="AO7" s="79"/>
      <c r="AP7" s="80">
        <f>AO7/K7</f>
        <v>0</v>
      </c>
      <c r="AQ7" s="1"/>
      <c r="AR7" s="1"/>
      <c r="AS7" s="48">
        <f t="shared" ref="AS7:AS16" si="4">E7</f>
        <v>17406.635154537857</v>
      </c>
      <c r="AT7" s="7">
        <f t="shared" ref="AT7:AT16" si="5">M7</f>
        <v>18674</v>
      </c>
      <c r="AU7" s="49">
        <f>AT7/AS7</f>
        <v>1.0728092956628521</v>
      </c>
      <c r="AV7" s="7"/>
      <c r="AW7" s="49"/>
      <c r="AX7" s="1"/>
      <c r="AY7" s="48">
        <f t="shared" ref="AY7:AY16" si="6">E7*3</f>
        <v>52219.90546361357</v>
      </c>
      <c r="AZ7" s="7">
        <f t="shared" ref="AZ7:AZ16" si="7">O7+Q7+S7</f>
        <v>35294</v>
      </c>
      <c r="BA7" s="49">
        <f>AZ7/AY7</f>
        <v>0.67587253723759777</v>
      </c>
      <c r="BB7" s="7"/>
      <c r="BC7" s="49"/>
      <c r="BD7" s="1"/>
      <c r="BE7" s="50">
        <f t="shared" ref="BE7:BE16" si="8">E7*3</f>
        <v>52219.90546361357</v>
      </c>
      <c r="BF7" s="7">
        <f t="shared" ref="BF7:BF16" si="9">U7+W7+Y7</f>
        <v>0</v>
      </c>
      <c r="BG7" s="49">
        <f>BF7/BE7</f>
        <v>0</v>
      </c>
      <c r="BH7" s="7"/>
      <c r="BI7" s="49"/>
      <c r="BJ7" s="1"/>
      <c r="BK7" s="50">
        <f t="shared" ref="BK7:BK16" si="10">E7*3</f>
        <v>52219.90546361357</v>
      </c>
      <c r="BL7" s="7">
        <f t="shared" ref="BL7:BL16" si="11">AA7+AC7+AE7</f>
        <v>0</v>
      </c>
      <c r="BM7" s="49">
        <f>BL7/BK7</f>
        <v>0</v>
      </c>
      <c r="BN7" s="7"/>
      <c r="BO7" s="49"/>
      <c r="BP7" s="50">
        <f t="shared" ref="BP7:BP16" si="12">E7*3</f>
        <v>52219.90546361357</v>
      </c>
      <c r="BQ7" s="7">
        <f t="shared" ref="BQ7:BQ16" si="13">AG7+AI7+AK7</f>
        <v>0</v>
      </c>
      <c r="BR7" s="49">
        <f>BQ7/BP7</f>
        <v>0</v>
      </c>
      <c r="BS7" s="7"/>
      <c r="BT7" s="49"/>
      <c r="BU7" s="1"/>
      <c r="BV7" s="50">
        <f t="shared" ref="BV7:BV16" si="14">C7</f>
        <v>261099.52731806785</v>
      </c>
      <c r="BW7" s="51">
        <f t="shared" ref="BW7:BW16" si="15">M7+O7+Q7+S7+U7+W7+Y7+AA7+AC7+AE7+AG7+AI7+AK7</f>
        <v>53968</v>
      </c>
      <c r="BX7" s="49">
        <f>BW7/BV7</f>
        <v>0.20669512715837637</v>
      </c>
      <c r="BY7" s="7"/>
      <c r="BZ7" s="49"/>
      <c r="CA7" s="1"/>
      <c r="CB7" s="52">
        <f>BV7-BW7</f>
        <v>207131.52731806785</v>
      </c>
      <c r="CC7" s="49">
        <f>CB7/BV7</f>
        <v>0.79330487284162365</v>
      </c>
      <c r="CD7" s="1"/>
      <c r="CE7" s="1"/>
    </row>
    <row r="8" spans="1:83" ht="150" customHeight="1">
      <c r="A8" s="65">
        <v>2</v>
      </c>
      <c r="B8" s="91" t="s">
        <v>4</v>
      </c>
      <c r="C8" s="85">
        <v>41618.573913574219</v>
      </c>
      <c r="D8" s="86">
        <f t="shared" ref="D8:D16" si="16">C8/5</f>
        <v>8323.7147827148438</v>
      </c>
      <c r="E8" s="87">
        <f t="shared" ref="E8:E16" si="17">C8/15</f>
        <v>2774.5715942382813</v>
      </c>
      <c r="F8" s="73" t="e">
        <f>#REF!/11*2</f>
        <v>#REF!</v>
      </c>
      <c r="G8" s="74" t="e">
        <f>#REF!/11*2</f>
        <v>#REF!</v>
      </c>
      <c r="H8" s="74">
        <f t="shared" si="0"/>
        <v>7567.0134388316765</v>
      </c>
      <c r="I8" s="74" t="e">
        <f>#REF!/11*3</f>
        <v>#REF!</v>
      </c>
      <c r="J8" s="74" t="e">
        <f>#REF!/11*3</f>
        <v>#REF!</v>
      </c>
      <c r="K8" s="75">
        <f t="shared" si="1"/>
        <v>11350.520158247515</v>
      </c>
      <c r="L8" s="76"/>
      <c r="M8" s="81">
        <v>3225</v>
      </c>
      <c r="N8" s="80">
        <f t="shared" si="2"/>
        <v>1.1623416049876261</v>
      </c>
      <c r="O8" s="81">
        <v>2810</v>
      </c>
      <c r="P8" s="80">
        <f t="shared" ref="P8:P16" si="18">O8/E8</f>
        <v>1.0127689643458075</v>
      </c>
      <c r="Q8" s="81">
        <v>2905</v>
      </c>
      <c r="R8" s="80">
        <f t="shared" ref="R8:R16" si="19">Q8/E8</f>
        <v>1.0470084844927299</v>
      </c>
      <c r="S8" s="81"/>
      <c r="T8" s="80">
        <f t="shared" ref="T8:T16" si="20">S8/E8</f>
        <v>0</v>
      </c>
      <c r="U8" s="81"/>
      <c r="V8" s="80">
        <f t="shared" ref="V8:V16" si="21">U8/E8</f>
        <v>0</v>
      </c>
      <c r="W8" s="81"/>
      <c r="X8" s="80">
        <f t="shared" ref="X8:X16" si="22">W8/E8</f>
        <v>0</v>
      </c>
      <c r="Y8" s="81"/>
      <c r="Z8" s="80">
        <f t="shared" ref="Z8:Z16" si="23">Y8/E8</f>
        <v>0</v>
      </c>
      <c r="AA8" s="81"/>
      <c r="AB8" s="80">
        <f t="shared" ref="AB8:AB16" si="24">AA8/E8</f>
        <v>0</v>
      </c>
      <c r="AC8" s="81"/>
      <c r="AD8" s="80">
        <f t="shared" ref="AD8:AD16" si="25">AC8/E8</f>
        <v>0</v>
      </c>
      <c r="AE8" s="81"/>
      <c r="AF8" s="80">
        <f t="shared" ref="AF8:AF16" si="26">AE8/E8</f>
        <v>0</v>
      </c>
      <c r="AG8" s="81"/>
      <c r="AH8" s="80">
        <f t="shared" ref="AH8:AH16" si="27">AG8/E8</f>
        <v>0</v>
      </c>
      <c r="AI8" s="81"/>
      <c r="AJ8" s="80">
        <f t="shared" ref="AJ8:AJ16" si="28">AI8/E8</f>
        <v>0</v>
      </c>
      <c r="AK8" s="81"/>
      <c r="AL8" s="80">
        <f t="shared" si="3"/>
        <v>0</v>
      </c>
      <c r="AM8" s="81"/>
      <c r="AN8" s="80">
        <f t="shared" ref="AN8:AN16" si="29">AM8/K8</f>
        <v>0</v>
      </c>
      <c r="AO8" s="81"/>
      <c r="AP8" s="80">
        <f t="shared" ref="AP8:AP16" si="30">AO8/K8</f>
        <v>0</v>
      </c>
      <c r="AQ8" s="1"/>
      <c r="AR8" s="1"/>
      <c r="AS8" s="48">
        <f t="shared" si="4"/>
        <v>2774.5715942382813</v>
      </c>
      <c r="AT8" s="7">
        <f t="shared" si="5"/>
        <v>3225</v>
      </c>
      <c r="AU8" s="49">
        <f t="shared" ref="AU8:AU16" si="31">AT8/AS8</f>
        <v>1.1623416049876261</v>
      </c>
      <c r="AV8" s="7"/>
      <c r="AW8" s="49"/>
      <c r="AX8" s="1"/>
      <c r="AY8" s="48">
        <f t="shared" si="6"/>
        <v>8323.7147827148438</v>
      </c>
      <c r="AZ8" s="7">
        <f t="shared" si="7"/>
        <v>5715</v>
      </c>
      <c r="BA8" s="49">
        <f t="shared" ref="BA8:BA16" si="32">AZ8/AY8</f>
        <v>0.68659248294617903</v>
      </c>
      <c r="BB8" s="7"/>
      <c r="BC8" s="49"/>
      <c r="BD8" s="1"/>
      <c r="BE8" s="50">
        <f t="shared" si="8"/>
        <v>8323.7147827148438</v>
      </c>
      <c r="BF8" s="7">
        <f t="shared" si="9"/>
        <v>0</v>
      </c>
      <c r="BG8" s="49">
        <f t="shared" ref="BG8:BG16" si="33">BF8/BE8</f>
        <v>0</v>
      </c>
      <c r="BH8" s="7"/>
      <c r="BI8" s="49"/>
      <c r="BJ8" s="1"/>
      <c r="BK8" s="50">
        <f t="shared" si="10"/>
        <v>8323.7147827148438</v>
      </c>
      <c r="BL8" s="7">
        <f t="shared" si="11"/>
        <v>0</v>
      </c>
      <c r="BM8" s="49">
        <f t="shared" ref="BM8:BM16" si="34">BL8/BK8</f>
        <v>0</v>
      </c>
      <c r="BN8" s="7"/>
      <c r="BO8" s="49"/>
      <c r="BP8" s="50">
        <f t="shared" si="12"/>
        <v>8323.7147827148438</v>
      </c>
      <c r="BQ8" s="7">
        <f t="shared" si="13"/>
        <v>0</v>
      </c>
      <c r="BR8" s="49">
        <f t="shared" ref="BR8:BR16" si="35">BQ8/BP8</f>
        <v>0</v>
      </c>
      <c r="BS8" s="7"/>
      <c r="BT8" s="49"/>
      <c r="BU8" s="1"/>
      <c r="BV8" s="53">
        <f t="shared" si="14"/>
        <v>41618.573913574219</v>
      </c>
      <c r="BW8" s="51">
        <f t="shared" si="15"/>
        <v>8940</v>
      </c>
      <c r="BX8" s="49">
        <f t="shared" ref="BX8:BX16" si="36">BW8/BV8</f>
        <v>0.21480793692174421</v>
      </c>
      <c r="BY8" s="7"/>
      <c r="BZ8" s="49"/>
      <c r="CA8" s="1"/>
      <c r="CB8" s="52">
        <f t="shared" ref="CB8:CB16" si="37">BV8-BW8</f>
        <v>32678.573913574219</v>
      </c>
      <c r="CC8" s="49">
        <f t="shared" ref="CC8:CC16" si="38">CB8/BV8</f>
        <v>0.78519206307825573</v>
      </c>
      <c r="CD8" s="1"/>
      <c r="CE8" s="1"/>
    </row>
    <row r="9" spans="1:83" ht="150" customHeight="1">
      <c r="A9" s="65">
        <v>3</v>
      </c>
      <c r="B9" s="91" t="s">
        <v>5</v>
      </c>
      <c r="C9" s="85">
        <v>112539.60690307617</v>
      </c>
      <c r="D9" s="86">
        <f t="shared" si="16"/>
        <v>22507.921380615233</v>
      </c>
      <c r="E9" s="87">
        <f t="shared" si="17"/>
        <v>7502.6404602050779</v>
      </c>
      <c r="F9" s="73" t="e">
        <f>#REF!/11*2</f>
        <v>#REF!</v>
      </c>
      <c r="G9" s="74" t="e">
        <f>#REF!/11*2</f>
        <v>#REF!</v>
      </c>
      <c r="H9" s="74">
        <f t="shared" si="0"/>
        <v>20461.746709650211</v>
      </c>
      <c r="I9" s="74" t="e">
        <f>#REF!/11*3</f>
        <v>#REF!</v>
      </c>
      <c r="J9" s="74" t="e">
        <f>#REF!/11*3</f>
        <v>#REF!</v>
      </c>
      <c r="K9" s="75">
        <f t="shared" si="1"/>
        <v>30692.620064475319</v>
      </c>
      <c r="L9" s="76"/>
      <c r="M9" s="81">
        <v>8330</v>
      </c>
      <c r="N9" s="80">
        <f t="shared" si="2"/>
        <v>1.1102757814643176</v>
      </c>
      <c r="O9" s="81">
        <v>7752</v>
      </c>
      <c r="P9" s="80">
        <f t="shared" si="18"/>
        <v>1.0332362374443445</v>
      </c>
      <c r="Q9" s="81">
        <v>8071</v>
      </c>
      <c r="R9" s="80">
        <f t="shared" si="19"/>
        <v>1.0757546017045025</v>
      </c>
      <c r="S9" s="81"/>
      <c r="T9" s="80">
        <f t="shared" si="20"/>
        <v>0</v>
      </c>
      <c r="U9" s="81"/>
      <c r="V9" s="80">
        <f t="shared" si="21"/>
        <v>0</v>
      </c>
      <c r="W9" s="81"/>
      <c r="X9" s="80">
        <f t="shared" si="22"/>
        <v>0</v>
      </c>
      <c r="Y9" s="81"/>
      <c r="Z9" s="80">
        <f t="shared" si="23"/>
        <v>0</v>
      </c>
      <c r="AA9" s="81"/>
      <c r="AB9" s="80">
        <f t="shared" si="24"/>
        <v>0</v>
      </c>
      <c r="AC9" s="81"/>
      <c r="AD9" s="80">
        <f t="shared" si="25"/>
        <v>0</v>
      </c>
      <c r="AE9" s="81"/>
      <c r="AF9" s="80">
        <f t="shared" si="26"/>
        <v>0</v>
      </c>
      <c r="AG9" s="81"/>
      <c r="AH9" s="80">
        <f t="shared" si="27"/>
        <v>0</v>
      </c>
      <c r="AI9" s="81"/>
      <c r="AJ9" s="80">
        <f t="shared" si="28"/>
        <v>0</v>
      </c>
      <c r="AK9" s="81"/>
      <c r="AL9" s="80">
        <f t="shared" si="3"/>
        <v>0</v>
      </c>
      <c r="AM9" s="81"/>
      <c r="AN9" s="80">
        <f t="shared" si="29"/>
        <v>0</v>
      </c>
      <c r="AO9" s="81"/>
      <c r="AP9" s="80">
        <f t="shared" si="30"/>
        <v>0</v>
      </c>
      <c r="AQ9" s="1"/>
      <c r="AR9" s="1"/>
      <c r="AS9" s="48">
        <f t="shared" si="4"/>
        <v>7502.6404602050779</v>
      </c>
      <c r="AT9" s="7">
        <f t="shared" si="5"/>
        <v>8330</v>
      </c>
      <c r="AU9" s="49">
        <f t="shared" si="31"/>
        <v>1.1102757814643176</v>
      </c>
      <c r="AV9" s="7"/>
      <c r="AW9" s="49"/>
      <c r="AX9" s="1"/>
      <c r="AY9" s="48">
        <f t="shared" si="6"/>
        <v>22507.921380615233</v>
      </c>
      <c r="AZ9" s="7">
        <f t="shared" si="7"/>
        <v>15823</v>
      </c>
      <c r="BA9" s="49">
        <f t="shared" si="32"/>
        <v>0.70299694638294907</v>
      </c>
      <c r="BB9" s="7"/>
      <c r="BC9" s="49"/>
      <c r="BD9" s="1"/>
      <c r="BE9" s="50">
        <f t="shared" si="8"/>
        <v>22507.921380615233</v>
      </c>
      <c r="BF9" s="7">
        <f t="shared" si="9"/>
        <v>0</v>
      </c>
      <c r="BG9" s="49">
        <f t="shared" si="33"/>
        <v>0</v>
      </c>
      <c r="BH9" s="7"/>
      <c r="BI9" s="49"/>
      <c r="BJ9" s="1"/>
      <c r="BK9" s="50">
        <f t="shared" si="10"/>
        <v>22507.921380615233</v>
      </c>
      <c r="BL9" s="7">
        <f t="shared" si="11"/>
        <v>0</v>
      </c>
      <c r="BM9" s="49">
        <f t="shared" si="34"/>
        <v>0</v>
      </c>
      <c r="BN9" s="7"/>
      <c r="BO9" s="49"/>
      <c r="BP9" s="50">
        <f t="shared" si="12"/>
        <v>22507.921380615233</v>
      </c>
      <c r="BQ9" s="7">
        <f t="shared" si="13"/>
        <v>0</v>
      </c>
      <c r="BR9" s="49">
        <f t="shared" si="35"/>
        <v>0</v>
      </c>
      <c r="BS9" s="7"/>
      <c r="BT9" s="49"/>
      <c r="BU9" s="1"/>
      <c r="BV9" s="53">
        <f t="shared" si="14"/>
        <v>112539.60690307617</v>
      </c>
      <c r="BW9" s="51">
        <f t="shared" si="15"/>
        <v>24153</v>
      </c>
      <c r="BX9" s="49">
        <f t="shared" si="36"/>
        <v>0.21461777470754431</v>
      </c>
      <c r="BY9" s="7"/>
      <c r="BZ9" s="49"/>
      <c r="CA9" s="1"/>
      <c r="CB9" s="52">
        <f t="shared" si="37"/>
        <v>88386.606903076172</v>
      </c>
      <c r="CC9" s="49">
        <f t="shared" si="38"/>
        <v>0.78538222529245572</v>
      </c>
      <c r="CD9" s="1"/>
      <c r="CE9" s="1"/>
    </row>
    <row r="10" spans="1:83" ht="150" customHeight="1">
      <c r="A10" s="65">
        <v>4</v>
      </c>
      <c r="B10" s="91" t="s">
        <v>6</v>
      </c>
      <c r="C10" s="85">
        <v>3659.5430574417114</v>
      </c>
      <c r="D10" s="86">
        <f t="shared" si="16"/>
        <v>731.90861148834233</v>
      </c>
      <c r="E10" s="87">
        <f t="shared" si="17"/>
        <v>243.96953716278077</v>
      </c>
      <c r="F10" s="73" t="e">
        <f>#REF!/11*2</f>
        <v>#REF!</v>
      </c>
      <c r="G10" s="74" t="e">
        <f>#REF!/11*2</f>
        <v>#REF!</v>
      </c>
      <c r="H10" s="74">
        <f t="shared" si="0"/>
        <v>665.37146498940206</v>
      </c>
      <c r="I10" s="74" t="e">
        <f>#REF!/11*3</f>
        <v>#REF!</v>
      </c>
      <c r="J10" s="74" t="e">
        <f>#REF!/11*3</f>
        <v>#REF!</v>
      </c>
      <c r="K10" s="75">
        <f t="shared" si="1"/>
        <v>998.05719748410309</v>
      </c>
      <c r="L10" s="76"/>
      <c r="M10" s="81">
        <v>311</v>
      </c>
      <c r="N10" s="80">
        <f t="shared" si="2"/>
        <v>1.2747493134460279</v>
      </c>
      <c r="O10" s="81">
        <v>227</v>
      </c>
      <c r="P10" s="80">
        <f t="shared" si="18"/>
        <v>0.93044403264388542</v>
      </c>
      <c r="Q10" s="81">
        <v>286</v>
      </c>
      <c r="R10" s="80">
        <f t="shared" si="19"/>
        <v>1.1722775036834856</v>
      </c>
      <c r="S10" s="81"/>
      <c r="T10" s="80">
        <f t="shared" si="20"/>
        <v>0</v>
      </c>
      <c r="U10" s="81"/>
      <c r="V10" s="80">
        <f t="shared" si="21"/>
        <v>0</v>
      </c>
      <c r="W10" s="81"/>
      <c r="X10" s="80">
        <f t="shared" si="22"/>
        <v>0</v>
      </c>
      <c r="Y10" s="81"/>
      <c r="Z10" s="80">
        <f t="shared" si="23"/>
        <v>0</v>
      </c>
      <c r="AA10" s="81"/>
      <c r="AB10" s="80">
        <f t="shared" si="24"/>
        <v>0</v>
      </c>
      <c r="AC10" s="81"/>
      <c r="AD10" s="80">
        <f t="shared" si="25"/>
        <v>0</v>
      </c>
      <c r="AE10" s="81"/>
      <c r="AF10" s="80">
        <f t="shared" si="26"/>
        <v>0</v>
      </c>
      <c r="AG10" s="81"/>
      <c r="AH10" s="80">
        <f t="shared" si="27"/>
        <v>0</v>
      </c>
      <c r="AI10" s="81"/>
      <c r="AJ10" s="80">
        <f t="shared" si="28"/>
        <v>0</v>
      </c>
      <c r="AK10" s="81"/>
      <c r="AL10" s="80">
        <f t="shared" si="3"/>
        <v>0</v>
      </c>
      <c r="AM10" s="81"/>
      <c r="AN10" s="80">
        <f t="shared" si="29"/>
        <v>0</v>
      </c>
      <c r="AO10" s="81"/>
      <c r="AP10" s="80">
        <f t="shared" si="30"/>
        <v>0</v>
      </c>
      <c r="AQ10" s="1"/>
      <c r="AR10" s="1"/>
      <c r="AS10" s="48">
        <f t="shared" si="4"/>
        <v>243.96953716278077</v>
      </c>
      <c r="AT10" s="7">
        <f t="shared" si="5"/>
        <v>311</v>
      </c>
      <c r="AU10" s="49">
        <f t="shared" si="31"/>
        <v>1.2747493134460279</v>
      </c>
      <c r="AV10" s="7"/>
      <c r="AW10" s="49"/>
      <c r="AX10" s="1"/>
      <c r="AY10" s="48">
        <f t="shared" si="6"/>
        <v>731.90861148834233</v>
      </c>
      <c r="AZ10" s="7">
        <f t="shared" si="7"/>
        <v>513</v>
      </c>
      <c r="BA10" s="49">
        <f t="shared" si="32"/>
        <v>0.70090717877579034</v>
      </c>
      <c r="BB10" s="7"/>
      <c r="BC10" s="49"/>
      <c r="BD10" s="1"/>
      <c r="BE10" s="50">
        <f t="shared" si="8"/>
        <v>731.90861148834233</v>
      </c>
      <c r="BF10" s="7">
        <f t="shared" si="9"/>
        <v>0</v>
      </c>
      <c r="BG10" s="49">
        <f t="shared" si="33"/>
        <v>0</v>
      </c>
      <c r="BH10" s="7"/>
      <c r="BI10" s="49"/>
      <c r="BJ10" s="1"/>
      <c r="BK10" s="50">
        <f t="shared" si="10"/>
        <v>731.90861148834233</v>
      </c>
      <c r="BL10" s="7">
        <f t="shared" si="11"/>
        <v>0</v>
      </c>
      <c r="BM10" s="49">
        <f t="shared" si="34"/>
        <v>0</v>
      </c>
      <c r="BN10" s="7"/>
      <c r="BO10" s="49"/>
      <c r="BP10" s="50">
        <f t="shared" si="12"/>
        <v>731.90861148834233</v>
      </c>
      <c r="BQ10" s="7">
        <f t="shared" si="13"/>
        <v>0</v>
      </c>
      <c r="BR10" s="49">
        <f t="shared" si="35"/>
        <v>0</v>
      </c>
      <c r="BS10" s="7"/>
      <c r="BT10" s="49"/>
      <c r="BU10" s="1"/>
      <c r="BV10" s="53">
        <f t="shared" si="14"/>
        <v>3659.5430574417114</v>
      </c>
      <c r="BW10" s="51">
        <f t="shared" si="15"/>
        <v>824</v>
      </c>
      <c r="BX10" s="49">
        <f t="shared" si="36"/>
        <v>0.2251647233182266</v>
      </c>
      <c r="BY10" s="7"/>
      <c r="BZ10" s="49"/>
      <c r="CA10" s="1"/>
      <c r="CB10" s="52">
        <f t="shared" si="37"/>
        <v>2835.5430574417114</v>
      </c>
      <c r="CC10" s="49">
        <f t="shared" si="38"/>
        <v>0.77483527668177343</v>
      </c>
      <c r="CD10" s="1"/>
      <c r="CE10" s="1"/>
    </row>
    <row r="11" spans="1:83" ht="150" customHeight="1">
      <c r="A11" s="65">
        <v>5</v>
      </c>
      <c r="B11" s="91" t="s">
        <v>7</v>
      </c>
      <c r="C11" s="85">
        <v>30840.450164794922</v>
      </c>
      <c r="D11" s="86">
        <f t="shared" si="16"/>
        <v>6168.090032958984</v>
      </c>
      <c r="E11" s="87">
        <f t="shared" si="17"/>
        <v>2056.0300109863283</v>
      </c>
      <c r="F11" s="73" t="e">
        <f>#REF!/11*2</f>
        <v>#REF!</v>
      </c>
      <c r="G11" s="74" t="e">
        <f>#REF!/11*2</f>
        <v>#REF!</v>
      </c>
      <c r="H11" s="74">
        <f t="shared" si="0"/>
        <v>5607.3545754172583</v>
      </c>
      <c r="I11" s="74" t="e">
        <f>#REF!/11*3</f>
        <v>#REF!</v>
      </c>
      <c r="J11" s="74" t="e">
        <f>#REF!/11*3</f>
        <v>#REF!</v>
      </c>
      <c r="K11" s="75">
        <f t="shared" si="1"/>
        <v>8411.031863125887</v>
      </c>
      <c r="L11" s="76"/>
      <c r="M11" s="81">
        <v>2128</v>
      </c>
      <c r="N11" s="80">
        <f t="shared" si="2"/>
        <v>1.0350043475188118</v>
      </c>
      <c r="O11" s="81">
        <v>1890</v>
      </c>
      <c r="P11" s="80">
        <f t="shared" si="18"/>
        <v>0.91924728233578668</v>
      </c>
      <c r="Q11" s="81">
        <v>2135</v>
      </c>
      <c r="R11" s="80">
        <f t="shared" si="19"/>
        <v>1.0384089670830183</v>
      </c>
      <c r="S11" s="81"/>
      <c r="T11" s="80">
        <f t="shared" si="20"/>
        <v>0</v>
      </c>
      <c r="U11" s="81"/>
      <c r="V11" s="80">
        <f t="shared" si="21"/>
        <v>0</v>
      </c>
      <c r="W11" s="81"/>
      <c r="X11" s="80">
        <f t="shared" si="22"/>
        <v>0</v>
      </c>
      <c r="Y11" s="81"/>
      <c r="Z11" s="80">
        <f t="shared" si="23"/>
        <v>0</v>
      </c>
      <c r="AA11" s="81"/>
      <c r="AB11" s="80">
        <f t="shared" si="24"/>
        <v>0</v>
      </c>
      <c r="AC11" s="81"/>
      <c r="AD11" s="80">
        <f t="shared" si="25"/>
        <v>0</v>
      </c>
      <c r="AE11" s="81"/>
      <c r="AF11" s="80">
        <f t="shared" si="26"/>
        <v>0</v>
      </c>
      <c r="AG11" s="81"/>
      <c r="AH11" s="80">
        <f t="shared" si="27"/>
        <v>0</v>
      </c>
      <c r="AI11" s="81"/>
      <c r="AJ11" s="80">
        <f t="shared" si="28"/>
        <v>0</v>
      </c>
      <c r="AK11" s="81"/>
      <c r="AL11" s="80">
        <f t="shared" si="3"/>
        <v>0</v>
      </c>
      <c r="AM11" s="81"/>
      <c r="AN11" s="80">
        <f t="shared" si="29"/>
        <v>0</v>
      </c>
      <c r="AO11" s="81"/>
      <c r="AP11" s="80">
        <f t="shared" si="30"/>
        <v>0</v>
      </c>
      <c r="AQ11" s="1"/>
      <c r="AR11" s="1"/>
      <c r="AS11" s="48">
        <f t="shared" si="4"/>
        <v>2056.0300109863283</v>
      </c>
      <c r="AT11" s="7">
        <f t="shared" si="5"/>
        <v>2128</v>
      </c>
      <c r="AU11" s="49">
        <f t="shared" si="31"/>
        <v>1.0350043475188118</v>
      </c>
      <c r="AV11" s="7"/>
      <c r="AW11" s="49"/>
      <c r="AX11" s="1"/>
      <c r="AY11" s="48">
        <f t="shared" si="6"/>
        <v>6168.0900329589849</v>
      </c>
      <c r="AZ11" s="7">
        <f t="shared" si="7"/>
        <v>4025</v>
      </c>
      <c r="BA11" s="49">
        <f t="shared" si="32"/>
        <v>0.65255208313960167</v>
      </c>
      <c r="BB11" s="7"/>
      <c r="BC11" s="49"/>
      <c r="BD11" s="1"/>
      <c r="BE11" s="50">
        <f t="shared" si="8"/>
        <v>6168.0900329589849</v>
      </c>
      <c r="BF11" s="7">
        <f t="shared" si="9"/>
        <v>0</v>
      </c>
      <c r="BG11" s="49">
        <f t="shared" si="33"/>
        <v>0</v>
      </c>
      <c r="BH11" s="7"/>
      <c r="BI11" s="49"/>
      <c r="BJ11" s="1"/>
      <c r="BK11" s="50">
        <f t="shared" si="10"/>
        <v>6168.0900329589849</v>
      </c>
      <c r="BL11" s="7">
        <f t="shared" si="11"/>
        <v>0</v>
      </c>
      <c r="BM11" s="49">
        <f t="shared" si="34"/>
        <v>0</v>
      </c>
      <c r="BN11" s="7"/>
      <c r="BO11" s="49"/>
      <c r="BP11" s="50">
        <f t="shared" si="12"/>
        <v>6168.0900329589849</v>
      </c>
      <c r="BQ11" s="7">
        <f t="shared" si="13"/>
        <v>0</v>
      </c>
      <c r="BR11" s="49">
        <f t="shared" si="35"/>
        <v>0</v>
      </c>
      <c r="BS11" s="7"/>
      <c r="BT11" s="49"/>
      <c r="BU11" s="1"/>
      <c r="BV11" s="53">
        <f t="shared" si="14"/>
        <v>30840.450164794922</v>
      </c>
      <c r="BW11" s="51">
        <f t="shared" si="15"/>
        <v>6153</v>
      </c>
      <c r="BX11" s="49">
        <f t="shared" si="36"/>
        <v>0.19951070646250779</v>
      </c>
      <c r="BY11" s="7"/>
      <c r="BZ11" s="49"/>
      <c r="CA11" s="1"/>
      <c r="CB11" s="52">
        <f t="shared" si="37"/>
        <v>24687.450164794922</v>
      </c>
      <c r="CC11" s="49">
        <f t="shared" si="38"/>
        <v>0.80048929353749221</v>
      </c>
      <c r="CD11" s="1"/>
      <c r="CE11" s="1"/>
    </row>
    <row r="12" spans="1:83" ht="150" customHeight="1">
      <c r="A12" s="65">
        <v>6</v>
      </c>
      <c r="B12" s="91" t="s">
        <v>8</v>
      </c>
      <c r="C12" s="88">
        <v>696187.12939453125</v>
      </c>
      <c r="D12" s="86">
        <f t="shared" si="16"/>
        <v>139237.42587890624</v>
      </c>
      <c r="E12" s="87">
        <f t="shared" si="17"/>
        <v>46412.475292968753</v>
      </c>
      <c r="F12" s="73" t="e">
        <f>#REF!/11*2</f>
        <v>#REF!</v>
      </c>
      <c r="G12" s="74" t="e">
        <f>#REF!/11*2</f>
        <v>#REF!</v>
      </c>
      <c r="H12" s="74">
        <f t="shared" si="0"/>
        <v>126579.47807173296</v>
      </c>
      <c r="I12" s="74" t="e">
        <f>#REF!/11*3</f>
        <v>#REF!</v>
      </c>
      <c r="J12" s="74" t="e">
        <f>#REF!/11*3</f>
        <v>#REF!</v>
      </c>
      <c r="K12" s="75">
        <f t="shared" si="1"/>
        <v>189869.21710759943</v>
      </c>
      <c r="L12" s="76"/>
      <c r="M12" s="81">
        <v>48960</v>
      </c>
      <c r="N12" s="80">
        <f t="shared" si="2"/>
        <v>1.0548887920963177</v>
      </c>
      <c r="O12" s="81">
        <v>45656</v>
      </c>
      <c r="P12" s="80">
        <f t="shared" si="18"/>
        <v>0.98370103537478526</v>
      </c>
      <c r="Q12" s="81">
        <v>54624</v>
      </c>
      <c r="R12" s="80">
        <f t="shared" si="19"/>
        <v>1.1769249464760878</v>
      </c>
      <c r="S12" s="81"/>
      <c r="T12" s="80">
        <f t="shared" si="20"/>
        <v>0</v>
      </c>
      <c r="U12" s="81"/>
      <c r="V12" s="80">
        <f t="shared" si="21"/>
        <v>0</v>
      </c>
      <c r="W12" s="81"/>
      <c r="X12" s="80">
        <f t="shared" si="22"/>
        <v>0</v>
      </c>
      <c r="Y12" s="81"/>
      <c r="Z12" s="80">
        <f t="shared" si="23"/>
        <v>0</v>
      </c>
      <c r="AA12" s="81"/>
      <c r="AB12" s="80">
        <f t="shared" si="24"/>
        <v>0</v>
      </c>
      <c r="AC12" s="81"/>
      <c r="AD12" s="80">
        <f t="shared" si="25"/>
        <v>0</v>
      </c>
      <c r="AE12" s="81"/>
      <c r="AF12" s="80">
        <f t="shared" si="26"/>
        <v>0</v>
      </c>
      <c r="AG12" s="81"/>
      <c r="AH12" s="80">
        <f t="shared" si="27"/>
        <v>0</v>
      </c>
      <c r="AI12" s="81"/>
      <c r="AJ12" s="80">
        <f t="shared" si="28"/>
        <v>0</v>
      </c>
      <c r="AK12" s="81"/>
      <c r="AL12" s="80">
        <f t="shared" si="3"/>
        <v>0</v>
      </c>
      <c r="AM12" s="81"/>
      <c r="AN12" s="80">
        <f t="shared" si="29"/>
        <v>0</v>
      </c>
      <c r="AO12" s="81"/>
      <c r="AP12" s="80">
        <f t="shared" si="30"/>
        <v>0</v>
      </c>
      <c r="AQ12" s="1"/>
      <c r="AR12" s="1"/>
      <c r="AS12" s="48">
        <f t="shared" si="4"/>
        <v>46412.475292968753</v>
      </c>
      <c r="AT12" s="7">
        <f t="shared" si="5"/>
        <v>48960</v>
      </c>
      <c r="AU12" s="49">
        <f t="shared" si="31"/>
        <v>1.0548887920963177</v>
      </c>
      <c r="AV12" s="7"/>
      <c r="AW12" s="49"/>
      <c r="AX12" s="1"/>
      <c r="AY12" s="48">
        <f t="shared" si="6"/>
        <v>139237.42587890627</v>
      </c>
      <c r="AZ12" s="7">
        <f t="shared" si="7"/>
        <v>100280</v>
      </c>
      <c r="BA12" s="49">
        <f t="shared" si="32"/>
        <v>0.72020866061695765</v>
      </c>
      <c r="BB12" s="7"/>
      <c r="BC12" s="49"/>
      <c r="BD12" s="1"/>
      <c r="BE12" s="50">
        <f t="shared" si="8"/>
        <v>139237.42587890627</v>
      </c>
      <c r="BF12" s="7">
        <f t="shared" si="9"/>
        <v>0</v>
      </c>
      <c r="BG12" s="49">
        <f t="shared" si="33"/>
        <v>0</v>
      </c>
      <c r="BH12" s="7"/>
      <c r="BI12" s="49"/>
      <c r="BJ12" s="1"/>
      <c r="BK12" s="50">
        <f t="shared" si="10"/>
        <v>139237.42587890627</v>
      </c>
      <c r="BL12" s="7">
        <f t="shared" si="11"/>
        <v>0</v>
      </c>
      <c r="BM12" s="49">
        <f t="shared" si="34"/>
        <v>0</v>
      </c>
      <c r="BN12" s="7"/>
      <c r="BO12" s="49"/>
      <c r="BP12" s="50">
        <f t="shared" si="12"/>
        <v>139237.42587890627</v>
      </c>
      <c r="BQ12" s="7">
        <f t="shared" si="13"/>
        <v>0</v>
      </c>
      <c r="BR12" s="49">
        <f t="shared" si="35"/>
        <v>0</v>
      </c>
      <c r="BS12" s="7"/>
      <c r="BT12" s="49"/>
      <c r="BU12" s="1"/>
      <c r="BV12" s="53">
        <f t="shared" si="14"/>
        <v>696187.12939453125</v>
      </c>
      <c r="BW12" s="51">
        <f t="shared" si="15"/>
        <v>149240</v>
      </c>
      <c r="BX12" s="49">
        <f t="shared" si="36"/>
        <v>0.21436765159647941</v>
      </c>
      <c r="BY12" s="7"/>
      <c r="BZ12" s="49"/>
      <c r="CA12" s="1"/>
      <c r="CB12" s="52">
        <f t="shared" si="37"/>
        <v>546947.12939453125</v>
      </c>
      <c r="CC12" s="49">
        <f t="shared" si="38"/>
        <v>0.78563234840352059</v>
      </c>
      <c r="CD12" s="1"/>
      <c r="CE12" s="1"/>
    </row>
    <row r="13" spans="1:83" ht="150" customHeight="1">
      <c r="A13" s="65">
        <v>7</v>
      </c>
      <c r="B13" s="91" t="s">
        <v>9</v>
      </c>
      <c r="C13" s="88">
        <v>409052.84807071835</v>
      </c>
      <c r="D13" s="86">
        <f t="shared" si="16"/>
        <v>81810.569614143664</v>
      </c>
      <c r="E13" s="87">
        <f t="shared" si="17"/>
        <v>27270.189871381222</v>
      </c>
      <c r="F13" s="73" t="e">
        <f>#REF!/11*2</f>
        <v>#REF!</v>
      </c>
      <c r="G13" s="74" t="e">
        <f>#REF!/11*2</f>
        <v>#REF!</v>
      </c>
      <c r="H13" s="74">
        <f t="shared" si="0"/>
        <v>74373.245103766967</v>
      </c>
      <c r="I13" s="74" t="e">
        <f>#REF!/11*3</f>
        <v>#REF!</v>
      </c>
      <c r="J13" s="74" t="e">
        <f>#REF!/11*3</f>
        <v>#REF!</v>
      </c>
      <c r="K13" s="75">
        <f t="shared" si="1"/>
        <v>111559.86765565045</v>
      </c>
      <c r="L13" s="76"/>
      <c r="M13" s="81">
        <v>28290</v>
      </c>
      <c r="N13" s="80">
        <f t="shared" si="2"/>
        <v>1.0373965173483819</v>
      </c>
      <c r="O13" s="81">
        <v>27484</v>
      </c>
      <c r="P13" s="80">
        <f t="shared" si="18"/>
        <v>1.0078404341747236</v>
      </c>
      <c r="Q13" s="81">
        <v>27306</v>
      </c>
      <c r="R13" s="80">
        <f t="shared" si="19"/>
        <v>1.0013131602232208</v>
      </c>
      <c r="S13" s="81"/>
      <c r="T13" s="80">
        <f t="shared" si="20"/>
        <v>0</v>
      </c>
      <c r="U13" s="81"/>
      <c r="V13" s="80">
        <f t="shared" si="21"/>
        <v>0</v>
      </c>
      <c r="W13" s="81"/>
      <c r="X13" s="80">
        <f t="shared" si="22"/>
        <v>0</v>
      </c>
      <c r="Y13" s="81"/>
      <c r="Z13" s="80">
        <f t="shared" si="23"/>
        <v>0</v>
      </c>
      <c r="AA13" s="81"/>
      <c r="AB13" s="80">
        <f t="shared" si="24"/>
        <v>0</v>
      </c>
      <c r="AC13" s="81"/>
      <c r="AD13" s="80">
        <f t="shared" si="25"/>
        <v>0</v>
      </c>
      <c r="AE13" s="81"/>
      <c r="AF13" s="80">
        <f t="shared" si="26"/>
        <v>0</v>
      </c>
      <c r="AG13" s="81"/>
      <c r="AH13" s="80">
        <f t="shared" si="27"/>
        <v>0</v>
      </c>
      <c r="AI13" s="81"/>
      <c r="AJ13" s="80">
        <f t="shared" si="28"/>
        <v>0</v>
      </c>
      <c r="AK13" s="81"/>
      <c r="AL13" s="80">
        <f t="shared" si="3"/>
        <v>0</v>
      </c>
      <c r="AM13" s="81"/>
      <c r="AN13" s="80">
        <f t="shared" si="29"/>
        <v>0</v>
      </c>
      <c r="AO13" s="81"/>
      <c r="AP13" s="80">
        <f t="shared" si="30"/>
        <v>0</v>
      </c>
      <c r="AQ13" s="1"/>
      <c r="AR13" s="1"/>
      <c r="AS13" s="48">
        <f t="shared" si="4"/>
        <v>27270.189871381222</v>
      </c>
      <c r="AT13" s="7">
        <f t="shared" si="5"/>
        <v>28290</v>
      </c>
      <c r="AU13" s="49">
        <f t="shared" si="31"/>
        <v>1.0373965173483819</v>
      </c>
      <c r="AV13" s="7"/>
      <c r="AW13" s="49"/>
      <c r="AX13" s="1"/>
      <c r="AY13" s="48">
        <f t="shared" si="6"/>
        <v>81810.569614143664</v>
      </c>
      <c r="AZ13" s="7">
        <f t="shared" si="7"/>
        <v>54790</v>
      </c>
      <c r="BA13" s="49">
        <f t="shared" si="32"/>
        <v>0.66971786479931483</v>
      </c>
      <c r="BB13" s="7"/>
      <c r="BC13" s="49"/>
      <c r="BD13" s="1"/>
      <c r="BE13" s="50">
        <f t="shared" si="8"/>
        <v>81810.569614143664</v>
      </c>
      <c r="BF13" s="7">
        <f t="shared" si="9"/>
        <v>0</v>
      </c>
      <c r="BG13" s="49">
        <f t="shared" si="33"/>
        <v>0</v>
      </c>
      <c r="BH13" s="7"/>
      <c r="BI13" s="49"/>
      <c r="BJ13" s="1"/>
      <c r="BK13" s="50">
        <f t="shared" si="10"/>
        <v>81810.569614143664</v>
      </c>
      <c r="BL13" s="7">
        <f t="shared" si="11"/>
        <v>0</v>
      </c>
      <c r="BM13" s="49">
        <f t="shared" si="34"/>
        <v>0</v>
      </c>
      <c r="BN13" s="7"/>
      <c r="BO13" s="49"/>
      <c r="BP13" s="50">
        <f t="shared" si="12"/>
        <v>81810.569614143664</v>
      </c>
      <c r="BQ13" s="7">
        <f t="shared" si="13"/>
        <v>0</v>
      </c>
      <c r="BR13" s="49">
        <f t="shared" si="35"/>
        <v>0</v>
      </c>
      <c r="BS13" s="7"/>
      <c r="BT13" s="49"/>
      <c r="BU13" s="1"/>
      <c r="BV13" s="53">
        <f t="shared" si="14"/>
        <v>409052.84807071835</v>
      </c>
      <c r="BW13" s="51">
        <f t="shared" si="15"/>
        <v>83080</v>
      </c>
      <c r="BX13" s="49">
        <f t="shared" si="36"/>
        <v>0.20310334078308842</v>
      </c>
      <c r="BY13" s="7"/>
      <c r="BZ13" s="49"/>
      <c r="CA13" s="1"/>
      <c r="CB13" s="52">
        <f t="shared" si="37"/>
        <v>325972.84807071835</v>
      </c>
      <c r="CC13" s="49">
        <f t="shared" si="38"/>
        <v>0.79689665921691155</v>
      </c>
      <c r="CD13" s="1"/>
      <c r="CE13" s="1"/>
    </row>
    <row r="14" spans="1:83" ht="150" customHeight="1">
      <c r="A14" s="65">
        <v>8</v>
      </c>
      <c r="B14" s="91" t="s">
        <v>11</v>
      </c>
      <c r="C14" s="88">
        <v>56004.085141114891</v>
      </c>
      <c r="D14" s="86">
        <f t="shared" si="16"/>
        <v>11200.817028222978</v>
      </c>
      <c r="E14" s="87">
        <f t="shared" si="17"/>
        <v>3733.6056760743259</v>
      </c>
      <c r="F14" s="73" t="e">
        <f>#REF!/11*2</f>
        <v>#REF!</v>
      </c>
      <c r="G14" s="74" t="e">
        <f>#REF!/11*2</f>
        <v>#REF!</v>
      </c>
      <c r="H14" s="74">
        <f t="shared" si="0"/>
        <v>10182.560934748162</v>
      </c>
      <c r="I14" s="74" t="e">
        <f>#REF!/11*3</f>
        <v>#REF!</v>
      </c>
      <c r="J14" s="74" t="e">
        <f>#REF!/11*3</f>
        <v>#REF!</v>
      </c>
      <c r="K14" s="75">
        <f t="shared" si="1"/>
        <v>15273.841402122243</v>
      </c>
      <c r="L14" s="76"/>
      <c r="M14" s="81">
        <v>3221</v>
      </c>
      <c r="N14" s="80">
        <f t="shared" si="2"/>
        <v>0.86270492372582275</v>
      </c>
      <c r="O14" s="81">
        <v>3718</v>
      </c>
      <c r="P14" s="80">
        <f t="shared" si="18"/>
        <v>0.99582021310543578</v>
      </c>
      <c r="Q14" s="81">
        <v>3729</v>
      </c>
      <c r="R14" s="80">
        <f t="shared" si="19"/>
        <v>0.99876642675367677</v>
      </c>
      <c r="S14" s="81"/>
      <c r="T14" s="80">
        <f t="shared" si="20"/>
        <v>0</v>
      </c>
      <c r="U14" s="81"/>
      <c r="V14" s="80">
        <f t="shared" si="21"/>
        <v>0</v>
      </c>
      <c r="W14" s="81"/>
      <c r="X14" s="80">
        <f t="shared" si="22"/>
        <v>0</v>
      </c>
      <c r="Y14" s="81"/>
      <c r="Z14" s="80">
        <f t="shared" si="23"/>
        <v>0</v>
      </c>
      <c r="AA14" s="81"/>
      <c r="AB14" s="80">
        <f t="shared" si="24"/>
        <v>0</v>
      </c>
      <c r="AC14" s="81"/>
      <c r="AD14" s="80">
        <f t="shared" si="25"/>
        <v>0</v>
      </c>
      <c r="AE14" s="81"/>
      <c r="AF14" s="80">
        <f t="shared" si="26"/>
        <v>0</v>
      </c>
      <c r="AG14" s="81"/>
      <c r="AH14" s="80">
        <f t="shared" si="27"/>
        <v>0</v>
      </c>
      <c r="AI14" s="81"/>
      <c r="AJ14" s="80">
        <f t="shared" si="28"/>
        <v>0</v>
      </c>
      <c r="AK14" s="81"/>
      <c r="AL14" s="80">
        <f t="shared" si="3"/>
        <v>0</v>
      </c>
      <c r="AM14" s="81"/>
      <c r="AN14" s="80">
        <f t="shared" si="29"/>
        <v>0</v>
      </c>
      <c r="AO14" s="81"/>
      <c r="AP14" s="80">
        <f t="shared" si="30"/>
        <v>0</v>
      </c>
      <c r="AQ14" s="1"/>
      <c r="AR14" s="1"/>
      <c r="AS14" s="48">
        <f t="shared" si="4"/>
        <v>3733.6056760743259</v>
      </c>
      <c r="AT14" s="7">
        <f t="shared" si="5"/>
        <v>3221</v>
      </c>
      <c r="AU14" s="49">
        <f t="shared" si="31"/>
        <v>0.86270492372582275</v>
      </c>
      <c r="AV14" s="7"/>
      <c r="AW14" s="49"/>
      <c r="AX14" s="1"/>
      <c r="AY14" s="48">
        <f t="shared" si="6"/>
        <v>11200.817028222977</v>
      </c>
      <c r="AZ14" s="7">
        <f t="shared" si="7"/>
        <v>7447</v>
      </c>
      <c r="BA14" s="49">
        <f t="shared" si="32"/>
        <v>0.66486221328637096</v>
      </c>
      <c r="BB14" s="7"/>
      <c r="BC14" s="49"/>
      <c r="BD14" s="1"/>
      <c r="BE14" s="50">
        <f t="shared" si="8"/>
        <v>11200.817028222977</v>
      </c>
      <c r="BF14" s="7">
        <f t="shared" si="9"/>
        <v>0</v>
      </c>
      <c r="BG14" s="49">
        <f t="shared" si="33"/>
        <v>0</v>
      </c>
      <c r="BH14" s="7"/>
      <c r="BI14" s="49"/>
      <c r="BJ14" s="1"/>
      <c r="BK14" s="50">
        <f t="shared" si="10"/>
        <v>11200.817028222977</v>
      </c>
      <c r="BL14" s="7">
        <f t="shared" si="11"/>
        <v>0</v>
      </c>
      <c r="BM14" s="49">
        <f t="shared" si="34"/>
        <v>0</v>
      </c>
      <c r="BN14" s="7"/>
      <c r="BO14" s="49"/>
      <c r="BP14" s="50">
        <f t="shared" si="12"/>
        <v>11200.817028222977</v>
      </c>
      <c r="BQ14" s="7">
        <f t="shared" si="13"/>
        <v>0</v>
      </c>
      <c r="BR14" s="49">
        <f t="shared" si="35"/>
        <v>0</v>
      </c>
      <c r="BS14" s="7"/>
      <c r="BT14" s="49"/>
      <c r="BU14" s="1"/>
      <c r="BV14" s="53">
        <f t="shared" si="14"/>
        <v>56004.085141114891</v>
      </c>
      <c r="BW14" s="51">
        <f t="shared" si="15"/>
        <v>10668</v>
      </c>
      <c r="BX14" s="49">
        <f t="shared" si="36"/>
        <v>0.19048610423899567</v>
      </c>
      <c r="BY14" s="7"/>
      <c r="BZ14" s="49"/>
      <c r="CA14" s="1"/>
      <c r="CB14" s="52">
        <f t="shared" si="37"/>
        <v>45336.085141114891</v>
      </c>
      <c r="CC14" s="49">
        <f t="shared" si="38"/>
        <v>0.8095138957610043</v>
      </c>
      <c r="CD14" s="1"/>
      <c r="CE14" s="1"/>
    </row>
    <row r="15" spans="1:83" ht="150" customHeight="1">
      <c r="A15" s="65">
        <v>9</v>
      </c>
      <c r="B15" s="91" t="s">
        <v>12</v>
      </c>
      <c r="C15" s="88">
        <v>142374.36829866841</v>
      </c>
      <c r="D15" s="86">
        <f t="shared" si="16"/>
        <v>28474.873659733683</v>
      </c>
      <c r="E15" s="87">
        <f t="shared" si="17"/>
        <v>9491.624553244561</v>
      </c>
      <c r="F15" s="73" t="e">
        <f>#REF!/11*2</f>
        <v>#REF!</v>
      </c>
      <c r="G15" s="74" t="e">
        <f>#REF!/11*2</f>
        <v>#REF!</v>
      </c>
      <c r="H15" s="74">
        <f t="shared" si="0"/>
        <v>25886.248781576076</v>
      </c>
      <c r="I15" s="74" t="e">
        <f>#REF!/11*3</f>
        <v>#REF!</v>
      </c>
      <c r="J15" s="74" t="e">
        <f>#REF!/11*3</f>
        <v>#REF!</v>
      </c>
      <c r="K15" s="75">
        <f t="shared" si="1"/>
        <v>38829.37317236411</v>
      </c>
      <c r="L15" s="76"/>
      <c r="M15" s="81">
        <v>5898</v>
      </c>
      <c r="N15" s="80">
        <f t="shared" si="2"/>
        <v>0.62138993877332227</v>
      </c>
      <c r="O15" s="81">
        <v>8612</v>
      </c>
      <c r="P15" s="80">
        <f t="shared" si="18"/>
        <v>0.90732623816816738</v>
      </c>
      <c r="Q15" s="81">
        <v>8707</v>
      </c>
      <c r="R15" s="80">
        <f t="shared" si="19"/>
        <v>0.91733506220741212</v>
      </c>
      <c r="S15" s="81"/>
      <c r="T15" s="80">
        <f t="shared" si="20"/>
        <v>0</v>
      </c>
      <c r="U15" s="81"/>
      <c r="V15" s="80">
        <f t="shared" si="21"/>
        <v>0</v>
      </c>
      <c r="W15" s="81"/>
      <c r="X15" s="80">
        <f t="shared" si="22"/>
        <v>0</v>
      </c>
      <c r="Y15" s="81"/>
      <c r="Z15" s="80">
        <f t="shared" si="23"/>
        <v>0</v>
      </c>
      <c r="AA15" s="81"/>
      <c r="AB15" s="80">
        <f t="shared" si="24"/>
        <v>0</v>
      </c>
      <c r="AC15" s="81"/>
      <c r="AD15" s="80">
        <f t="shared" si="25"/>
        <v>0</v>
      </c>
      <c r="AE15" s="81"/>
      <c r="AF15" s="80">
        <f t="shared" si="26"/>
        <v>0</v>
      </c>
      <c r="AG15" s="81"/>
      <c r="AH15" s="80">
        <f t="shared" si="27"/>
        <v>0</v>
      </c>
      <c r="AI15" s="81"/>
      <c r="AJ15" s="80">
        <f t="shared" si="28"/>
        <v>0</v>
      </c>
      <c r="AK15" s="81"/>
      <c r="AL15" s="80">
        <f t="shared" si="3"/>
        <v>0</v>
      </c>
      <c r="AM15" s="81"/>
      <c r="AN15" s="80">
        <f t="shared" si="29"/>
        <v>0</v>
      </c>
      <c r="AO15" s="81"/>
      <c r="AP15" s="80">
        <f t="shared" si="30"/>
        <v>0</v>
      </c>
      <c r="AQ15" s="1"/>
      <c r="AR15" s="1"/>
      <c r="AS15" s="48">
        <f t="shared" si="4"/>
        <v>9491.624553244561</v>
      </c>
      <c r="AT15" s="7">
        <f t="shared" si="5"/>
        <v>5898</v>
      </c>
      <c r="AU15" s="49">
        <f t="shared" si="31"/>
        <v>0.62138993877332227</v>
      </c>
      <c r="AV15" s="7"/>
      <c r="AW15" s="49"/>
      <c r="AX15" s="1"/>
      <c r="AY15" s="48">
        <f t="shared" si="6"/>
        <v>28474.873659733683</v>
      </c>
      <c r="AZ15" s="7">
        <f t="shared" si="7"/>
        <v>17319</v>
      </c>
      <c r="BA15" s="49">
        <f t="shared" si="32"/>
        <v>0.6082204334585265</v>
      </c>
      <c r="BB15" s="7"/>
      <c r="BC15" s="49"/>
      <c r="BD15" s="1"/>
      <c r="BE15" s="50">
        <f t="shared" si="8"/>
        <v>28474.873659733683</v>
      </c>
      <c r="BF15" s="7">
        <f t="shared" si="9"/>
        <v>0</v>
      </c>
      <c r="BG15" s="49">
        <f t="shared" si="33"/>
        <v>0</v>
      </c>
      <c r="BH15" s="7"/>
      <c r="BI15" s="49"/>
      <c r="BJ15" s="1"/>
      <c r="BK15" s="50">
        <f t="shared" si="10"/>
        <v>28474.873659733683</v>
      </c>
      <c r="BL15" s="7">
        <f t="shared" si="11"/>
        <v>0</v>
      </c>
      <c r="BM15" s="49">
        <f t="shared" si="34"/>
        <v>0</v>
      </c>
      <c r="BN15" s="7"/>
      <c r="BO15" s="49"/>
      <c r="BP15" s="50">
        <f t="shared" si="12"/>
        <v>28474.873659733683</v>
      </c>
      <c r="BQ15" s="7">
        <f t="shared" si="13"/>
        <v>0</v>
      </c>
      <c r="BR15" s="49">
        <f t="shared" si="35"/>
        <v>0</v>
      </c>
      <c r="BS15" s="7"/>
      <c r="BT15" s="49"/>
      <c r="BU15" s="1"/>
      <c r="BV15" s="53">
        <f t="shared" si="14"/>
        <v>142374.36829866841</v>
      </c>
      <c r="BW15" s="51">
        <f t="shared" si="15"/>
        <v>23217</v>
      </c>
      <c r="BX15" s="49">
        <f t="shared" si="36"/>
        <v>0.16307008260992678</v>
      </c>
      <c r="BY15" s="7"/>
      <c r="BZ15" s="49"/>
      <c r="CA15" s="1"/>
      <c r="CB15" s="52">
        <f t="shared" si="37"/>
        <v>119157.36829866841</v>
      </c>
      <c r="CC15" s="49">
        <f t="shared" si="38"/>
        <v>0.83692991739007316</v>
      </c>
      <c r="CD15" s="1"/>
      <c r="CE15" s="1"/>
    </row>
    <row r="16" spans="1:83" ht="150" customHeight="1" thickBot="1">
      <c r="A16" s="65">
        <v>10</v>
      </c>
      <c r="B16" s="92" t="s">
        <v>13</v>
      </c>
      <c r="C16" s="89">
        <v>554.93651962280273</v>
      </c>
      <c r="D16" s="86">
        <f t="shared" si="16"/>
        <v>110.98730392456055</v>
      </c>
      <c r="E16" s="87">
        <f t="shared" si="17"/>
        <v>36.995767974853514</v>
      </c>
      <c r="F16" s="73" t="e">
        <f>#REF!/11*2</f>
        <v>#REF!</v>
      </c>
      <c r="G16" s="74" t="e">
        <f>#REF!/11*2</f>
        <v>#REF!</v>
      </c>
      <c r="H16" s="74">
        <f t="shared" si="0"/>
        <v>100.89754902232777</v>
      </c>
      <c r="I16" s="77" t="e">
        <f>#REF!/11*3</f>
        <v>#REF!</v>
      </c>
      <c r="J16" s="77" t="e">
        <f>#REF!/11*3</f>
        <v>#REF!</v>
      </c>
      <c r="K16" s="78">
        <f t="shared" si="1"/>
        <v>151.34632353349164</v>
      </c>
      <c r="L16" s="76"/>
      <c r="M16" s="82">
        <v>44</v>
      </c>
      <c r="N16" s="83">
        <f t="shared" si="2"/>
        <v>1.1893252230878772</v>
      </c>
      <c r="O16" s="82">
        <v>41</v>
      </c>
      <c r="P16" s="83">
        <f t="shared" si="18"/>
        <v>1.1082348669682491</v>
      </c>
      <c r="Q16" s="82">
        <v>44</v>
      </c>
      <c r="R16" s="83">
        <f t="shared" si="19"/>
        <v>1.1893252230878772</v>
      </c>
      <c r="S16" s="82"/>
      <c r="T16" s="83">
        <f t="shared" si="20"/>
        <v>0</v>
      </c>
      <c r="U16" s="82"/>
      <c r="V16" s="83">
        <f t="shared" si="21"/>
        <v>0</v>
      </c>
      <c r="W16" s="82"/>
      <c r="X16" s="83">
        <f t="shared" si="22"/>
        <v>0</v>
      </c>
      <c r="Y16" s="82"/>
      <c r="Z16" s="83">
        <f t="shared" si="23"/>
        <v>0</v>
      </c>
      <c r="AA16" s="82"/>
      <c r="AB16" s="83">
        <f t="shared" si="24"/>
        <v>0</v>
      </c>
      <c r="AC16" s="82"/>
      <c r="AD16" s="83">
        <f t="shared" si="25"/>
        <v>0</v>
      </c>
      <c r="AE16" s="82"/>
      <c r="AF16" s="83">
        <f t="shared" si="26"/>
        <v>0</v>
      </c>
      <c r="AG16" s="82"/>
      <c r="AH16" s="83">
        <f t="shared" si="27"/>
        <v>0</v>
      </c>
      <c r="AI16" s="82"/>
      <c r="AJ16" s="83">
        <f t="shared" si="28"/>
        <v>0</v>
      </c>
      <c r="AK16" s="82"/>
      <c r="AL16" s="83">
        <f t="shared" si="3"/>
        <v>0</v>
      </c>
      <c r="AM16" s="82"/>
      <c r="AN16" s="83">
        <f t="shared" si="29"/>
        <v>0</v>
      </c>
      <c r="AO16" s="82"/>
      <c r="AP16" s="83">
        <f t="shared" si="30"/>
        <v>0</v>
      </c>
      <c r="AQ16" s="1"/>
      <c r="AR16" s="1"/>
      <c r="AS16" s="54">
        <f t="shared" si="4"/>
        <v>36.995767974853514</v>
      </c>
      <c r="AT16" s="36">
        <f t="shared" si="5"/>
        <v>44</v>
      </c>
      <c r="AU16" s="55">
        <f t="shared" si="31"/>
        <v>1.1893252230878772</v>
      </c>
      <c r="AV16" s="36"/>
      <c r="AW16" s="55"/>
      <c r="AX16" s="1"/>
      <c r="AY16" s="54">
        <f t="shared" si="6"/>
        <v>110.98730392456054</v>
      </c>
      <c r="AZ16" s="36">
        <f t="shared" si="7"/>
        <v>85</v>
      </c>
      <c r="BA16" s="55">
        <f t="shared" si="32"/>
        <v>0.76585336335204224</v>
      </c>
      <c r="BB16" s="36"/>
      <c r="BC16" s="55"/>
      <c r="BD16" s="1"/>
      <c r="BE16" s="56">
        <f t="shared" si="8"/>
        <v>110.98730392456054</v>
      </c>
      <c r="BF16" s="36">
        <f t="shared" si="9"/>
        <v>0</v>
      </c>
      <c r="BG16" s="55">
        <f t="shared" si="33"/>
        <v>0</v>
      </c>
      <c r="BH16" s="36"/>
      <c r="BI16" s="55"/>
      <c r="BJ16" s="1"/>
      <c r="BK16" s="56">
        <f t="shared" si="10"/>
        <v>110.98730392456054</v>
      </c>
      <c r="BL16" s="36">
        <f t="shared" si="11"/>
        <v>0</v>
      </c>
      <c r="BM16" s="55">
        <f t="shared" si="34"/>
        <v>0</v>
      </c>
      <c r="BN16" s="36"/>
      <c r="BO16" s="55"/>
      <c r="BP16" s="56">
        <f t="shared" si="12"/>
        <v>110.98730392456054</v>
      </c>
      <c r="BQ16" s="36">
        <f t="shared" si="13"/>
        <v>0</v>
      </c>
      <c r="BR16" s="55">
        <f t="shared" si="35"/>
        <v>0</v>
      </c>
      <c r="BS16" s="36"/>
      <c r="BT16" s="55"/>
      <c r="BU16" s="1"/>
      <c r="BV16" s="57">
        <f t="shared" si="14"/>
        <v>554.93651962280273</v>
      </c>
      <c r="BW16" s="58">
        <f t="shared" si="15"/>
        <v>129</v>
      </c>
      <c r="BX16" s="55">
        <f t="shared" si="36"/>
        <v>0.23245902087626691</v>
      </c>
      <c r="BY16" s="36"/>
      <c r="BZ16" s="55"/>
      <c r="CA16" s="1"/>
      <c r="CB16" s="59">
        <f t="shared" si="37"/>
        <v>425.93651962280273</v>
      </c>
      <c r="CC16" s="55">
        <f t="shared" si="38"/>
        <v>0.76754097912373309</v>
      </c>
      <c r="CD16" s="1"/>
      <c r="CE16" s="1"/>
    </row>
    <row r="17" spans="2:83" ht="100" customHeight="1">
      <c r="B17" s="1"/>
      <c r="C17" s="84"/>
      <c r="D17" s="1"/>
      <c r="E17" s="1"/>
      <c r="F17" s="1"/>
      <c r="G17" s="1"/>
      <c r="H17" s="1"/>
      <c r="I17" s="1"/>
      <c r="J17" s="1"/>
      <c r="K17" s="2"/>
      <c r="L17" s="2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 spans="2:83">
      <c r="B18" s="1"/>
      <c r="C18" s="84"/>
      <c r="D18" s="1"/>
      <c r="E18" s="1"/>
      <c r="F18" s="1"/>
      <c r="G18" s="1"/>
      <c r="H18" s="1"/>
      <c r="I18" s="1"/>
      <c r="J18" s="1"/>
      <c r="K18" s="2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 spans="2:83">
      <c r="B19" s="1"/>
      <c r="C19" s="8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 spans="2:83">
      <c r="B20" s="1"/>
      <c r="C20" s="8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 spans="2:83">
      <c r="B21" s="1"/>
      <c r="C21" s="8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 spans="2:83">
      <c r="B22" s="1"/>
      <c r="C22" s="8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 spans="2:83">
      <c r="B23" s="1"/>
      <c r="C23" s="8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 spans="2:83"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</sheetData>
  <mergeCells count="112">
    <mergeCell ref="CB5:CB6"/>
    <mergeCell ref="CC5:CC6"/>
    <mergeCell ref="CB3:CC4"/>
    <mergeCell ref="AG4:AH4"/>
    <mergeCell ref="AI4:AJ4"/>
    <mergeCell ref="AK4:AL4"/>
    <mergeCell ref="Y4:Z4"/>
    <mergeCell ref="AA4:AB4"/>
    <mergeCell ref="Y5:Y6"/>
    <mergeCell ref="Z5:Z6"/>
    <mergeCell ref="AA5:AA6"/>
    <mergeCell ref="AB5:AB6"/>
    <mergeCell ref="AH5:AH6"/>
    <mergeCell ref="AI5:AI6"/>
    <mergeCell ref="AJ5:AJ6"/>
    <mergeCell ref="AK5:AK6"/>
    <mergeCell ref="BX5:BX6"/>
    <mergeCell ref="BN4:BO4"/>
    <mergeCell ref="BN5:BN6"/>
    <mergeCell ref="BO5:BO6"/>
    <mergeCell ref="BW4:BX4"/>
    <mergeCell ref="BV4:BV6"/>
    <mergeCell ref="AL5:AL6"/>
    <mergeCell ref="AM5:AM6"/>
    <mergeCell ref="B1:AL1"/>
    <mergeCell ref="B2:AL2"/>
    <mergeCell ref="F4:H4"/>
    <mergeCell ref="I4:K4"/>
    <mergeCell ref="AC4:AD4"/>
    <mergeCell ref="AE4:AF4"/>
    <mergeCell ref="K5:K6"/>
    <mergeCell ref="AF5:AF6"/>
    <mergeCell ref="Q4:R4"/>
    <mergeCell ref="S4:T4"/>
    <mergeCell ref="Q5:Q6"/>
    <mergeCell ref="R5:R6"/>
    <mergeCell ref="S5:S6"/>
    <mergeCell ref="T5:T6"/>
    <mergeCell ref="M4:N4"/>
    <mergeCell ref="O4:P4"/>
    <mergeCell ref="AC5:AC6"/>
    <mergeCell ref="AD5:AD6"/>
    <mergeCell ref="F5:F6"/>
    <mergeCell ref="S3:AL3"/>
    <mergeCell ref="G5:G6"/>
    <mergeCell ref="H5:H6"/>
    <mergeCell ref="I5:I6"/>
    <mergeCell ref="J5:J6"/>
    <mergeCell ref="M3:R3"/>
    <mergeCell ref="AE5:AE6"/>
    <mergeCell ref="AG5:AG6"/>
    <mergeCell ref="M5:M6"/>
    <mergeCell ref="N5:N6"/>
    <mergeCell ref="O5:O6"/>
    <mergeCell ref="P5:P6"/>
    <mergeCell ref="X5:X6"/>
    <mergeCell ref="U4:V4"/>
    <mergeCell ref="W4:X4"/>
    <mergeCell ref="U5:U6"/>
    <mergeCell ref="V5:V6"/>
    <mergeCell ref="W5:W6"/>
    <mergeCell ref="AN5:AN6"/>
    <mergeCell ref="AO5:AO6"/>
    <mergeCell ref="AP5:AP6"/>
    <mergeCell ref="AS4:AU4"/>
    <mergeCell ref="AY4:BA4"/>
    <mergeCell ref="BE4:BG4"/>
    <mergeCell ref="BK4:BM4"/>
    <mergeCell ref="AM4:AN4"/>
    <mergeCell ref="AO4:AP4"/>
    <mergeCell ref="BT5:BT6"/>
    <mergeCell ref="BP3:BT3"/>
    <mergeCell ref="BK5:BK6"/>
    <mergeCell ref="AS5:AS6"/>
    <mergeCell ref="AT5:AT6"/>
    <mergeCell ref="AU5:AU6"/>
    <mergeCell ref="AY5:AY6"/>
    <mergeCell ref="AZ5:AZ6"/>
    <mergeCell ref="BA5:BA6"/>
    <mergeCell ref="BE5:BE6"/>
    <mergeCell ref="BF5:BF6"/>
    <mergeCell ref="BG5:BG6"/>
    <mergeCell ref="AV5:AV6"/>
    <mergeCell ref="AW5:AW6"/>
    <mergeCell ref="AS3:AW3"/>
    <mergeCell ref="AY3:BC3"/>
    <mergeCell ref="BE3:BI3"/>
    <mergeCell ref="BK3:BO3"/>
    <mergeCell ref="A3:A5"/>
    <mergeCell ref="B3:B6"/>
    <mergeCell ref="C3:C6"/>
    <mergeCell ref="E3:E6"/>
    <mergeCell ref="BY4:BZ4"/>
    <mergeCell ref="BY5:BY6"/>
    <mergeCell ref="BZ5:BZ6"/>
    <mergeCell ref="BV3:BZ3"/>
    <mergeCell ref="AV4:AW4"/>
    <mergeCell ref="BB4:BC4"/>
    <mergeCell ref="BB5:BB6"/>
    <mergeCell ref="BC5:BC6"/>
    <mergeCell ref="BH4:BI4"/>
    <mergeCell ref="BH5:BH6"/>
    <mergeCell ref="BI5:BI6"/>
    <mergeCell ref="BL5:BL6"/>
    <mergeCell ref="BM5:BM6"/>
    <mergeCell ref="BW5:BW6"/>
    <mergeCell ref="BP5:BP6"/>
    <mergeCell ref="BQ5:BQ6"/>
    <mergeCell ref="BR5:BR6"/>
    <mergeCell ref="BS5:BS6"/>
    <mergeCell ref="BP4:BR4"/>
    <mergeCell ref="BS4:BT4"/>
  </mergeCells>
  <conditionalFormatting sqref="N7:N16 P7:P16 R7:R16 T7:T16 V7:V16 X7:X16 Z7:Z16 AB7:AB16 AD7:AD16 AF7:AF16 AH7:AH16 AJ7:AJ16 AL7:AL16 AU7:AU16 AW7:AW16 BA7:BA16 BC7:BC16 BG7:BG16 BI7:BI16 BM7:BM16 BO7:BO16 BR7:BR16 BT7:BT16 BX7:BX16 BZ7:BZ16 AN7:AN16 AP7:AP16">
    <cfRule type="containsBlanks" dxfId="9" priority="41">
      <formula>LEN(TRIM(N7))=0</formula>
    </cfRule>
    <cfRule type="cellIs" dxfId="8" priority="42" operator="between">
      <formula>1.005</formula>
      <formula>5</formula>
    </cfRule>
    <cfRule type="cellIs" dxfId="7" priority="43" operator="between">
      <formula>0.895</formula>
      <formula>1.004</formula>
    </cfRule>
    <cfRule type="cellIs" dxfId="6" priority="44" operator="between">
      <formula>0.795</formula>
      <formula>0.894</formula>
    </cfRule>
    <cfRule type="cellIs" dxfId="5" priority="45" operator="between">
      <formula>0.794</formula>
      <formula>0</formula>
    </cfRule>
  </conditionalFormatting>
  <printOptions horizontalCentered="1" verticalCentered="1"/>
  <pageMargins left="0.2" right="0.25" top="0.25" bottom="0.25" header="0.3" footer="0.3"/>
  <pageSetup scale="21" orientation="landscape" horizontalDpi="360" verticalDpi="360" r:id="rId1"/>
  <colBreaks count="1" manualBreakCount="1">
    <brk id="42" max="2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1"/>
  <sheetViews>
    <sheetView view="pageBreakPreview" topLeftCell="A3" zoomScale="40" zoomScaleNormal="70" zoomScaleSheetLayoutView="40" workbookViewId="0">
      <selection activeCell="AG6" sqref="AG6"/>
    </sheetView>
  </sheetViews>
  <sheetFormatPr defaultRowHeight="14.5"/>
  <cols>
    <col min="1" max="1" width="27.08984375" customWidth="1"/>
    <col min="2" max="2" width="25.1796875" customWidth="1"/>
    <col min="3" max="4" width="33" customWidth="1"/>
  </cols>
  <sheetData>
    <row r="1" spans="1:5" ht="112.75" customHeight="1">
      <c r="A1" s="141"/>
      <c r="B1" s="141"/>
      <c r="C1" s="141"/>
      <c r="D1" s="141"/>
      <c r="E1" s="1"/>
    </row>
    <row r="2" spans="1:5" ht="63.65" customHeight="1" thickBot="1">
      <c r="A2" s="167" t="s">
        <v>52</v>
      </c>
      <c r="B2" s="167"/>
      <c r="C2" s="167"/>
      <c r="D2" s="167"/>
      <c r="E2" s="1"/>
    </row>
    <row r="3" spans="1:5" ht="59.4" customHeight="1" thickBot="1">
      <c r="A3" s="27" t="s">
        <v>0</v>
      </c>
      <c r="B3" s="28" t="s">
        <v>15</v>
      </c>
      <c r="C3" s="29" t="s">
        <v>53</v>
      </c>
      <c r="D3" s="30" t="s">
        <v>2</v>
      </c>
    </row>
    <row r="4" spans="1:5" ht="51.65" customHeight="1">
      <c r="A4" s="22" t="s">
        <v>3</v>
      </c>
      <c r="B4" s="23">
        <f>IPTT_BDK!C7</f>
        <v>261099.52731806785</v>
      </c>
      <c r="C4" s="24">
        <f>IPTT_BDK!BW7</f>
        <v>53968</v>
      </c>
      <c r="D4" s="19">
        <f>C4/B4</f>
        <v>0.20669512715837637</v>
      </c>
    </row>
    <row r="5" spans="1:5" ht="51.65" customHeight="1">
      <c r="A5" s="25" t="s">
        <v>4</v>
      </c>
      <c r="B5" s="23">
        <f>IPTT_BDK!C8</f>
        <v>41618.573913574219</v>
      </c>
      <c r="C5" s="24">
        <f>IPTT_BDK!BW8</f>
        <v>8940</v>
      </c>
      <c r="D5" s="20">
        <f t="shared" ref="D5:D14" si="0">C5/B5</f>
        <v>0.21480793692174421</v>
      </c>
    </row>
    <row r="6" spans="1:5" ht="51.65" customHeight="1">
      <c r="A6" s="25" t="s">
        <v>5</v>
      </c>
      <c r="B6" s="23">
        <f>IPTT_BDK!C9</f>
        <v>112539.60690307617</v>
      </c>
      <c r="C6" s="24">
        <f>IPTT_BDK!BW9</f>
        <v>24153</v>
      </c>
      <c r="D6" s="20">
        <f t="shared" si="0"/>
        <v>0.21461777470754431</v>
      </c>
    </row>
    <row r="7" spans="1:5" ht="51.65" customHeight="1">
      <c r="A7" s="25" t="s">
        <v>6</v>
      </c>
      <c r="B7" s="23">
        <f>IPTT_BDK!C10</f>
        <v>3659.5430574417114</v>
      </c>
      <c r="C7" s="24">
        <f>IPTT_BDK!BW10</f>
        <v>824</v>
      </c>
      <c r="D7" s="20">
        <f t="shared" si="0"/>
        <v>0.2251647233182266</v>
      </c>
    </row>
    <row r="8" spans="1:5" ht="51.65" customHeight="1">
      <c r="A8" s="25" t="s">
        <v>7</v>
      </c>
      <c r="B8" s="23">
        <f>IPTT_BDK!C11</f>
        <v>30840.450164794922</v>
      </c>
      <c r="C8" s="24">
        <f>IPTT_BDK!BW11</f>
        <v>6153</v>
      </c>
      <c r="D8" s="20">
        <f t="shared" si="0"/>
        <v>0.19951070646250779</v>
      </c>
    </row>
    <row r="9" spans="1:5" ht="51.65" customHeight="1">
      <c r="A9" s="25" t="s">
        <v>8</v>
      </c>
      <c r="B9" s="23">
        <f>IPTT_BDK!C12</f>
        <v>696187.12939453125</v>
      </c>
      <c r="C9" s="24">
        <f>IPTT_BDK!BW12</f>
        <v>149240</v>
      </c>
      <c r="D9" s="20">
        <f t="shared" si="0"/>
        <v>0.21436765159647941</v>
      </c>
    </row>
    <row r="10" spans="1:5" ht="51.65" customHeight="1">
      <c r="A10" s="25" t="s">
        <v>9</v>
      </c>
      <c r="B10" s="23">
        <f>IPTT_BDK!C13</f>
        <v>409052.84807071835</v>
      </c>
      <c r="C10" s="24">
        <f>IPTT_BDK!BW13</f>
        <v>83080</v>
      </c>
      <c r="D10" s="20">
        <f t="shared" si="0"/>
        <v>0.20310334078308842</v>
      </c>
    </row>
    <row r="11" spans="1:5" ht="51.65" customHeight="1">
      <c r="A11" s="25" t="s">
        <v>10</v>
      </c>
      <c r="B11" s="23" t="e">
        <f>IPTT_BDK!#REF!</f>
        <v>#REF!</v>
      </c>
      <c r="C11" s="24" t="e">
        <f>IPTT_BDK!#REF!</f>
        <v>#REF!</v>
      </c>
      <c r="D11" s="20" t="e">
        <f t="shared" si="0"/>
        <v>#REF!</v>
      </c>
    </row>
    <row r="12" spans="1:5" ht="51.65" customHeight="1">
      <c r="A12" s="25" t="s">
        <v>11</v>
      </c>
      <c r="B12" s="23">
        <f>IPTT_BDK!C14</f>
        <v>56004.085141114891</v>
      </c>
      <c r="C12" s="24">
        <f>IPTT_BDK!BW14</f>
        <v>10668</v>
      </c>
      <c r="D12" s="20">
        <f t="shared" si="0"/>
        <v>0.19048610423899567</v>
      </c>
    </row>
    <row r="13" spans="1:5" ht="51.65" customHeight="1">
      <c r="A13" s="25" t="s">
        <v>12</v>
      </c>
      <c r="B13" s="23">
        <f>IPTT_BDK!C15</f>
        <v>142374.36829866841</v>
      </c>
      <c r="C13" s="24">
        <f>IPTT_BDK!BW15</f>
        <v>23217</v>
      </c>
      <c r="D13" s="20">
        <f t="shared" si="0"/>
        <v>0.16307008260992678</v>
      </c>
    </row>
    <row r="14" spans="1:5" ht="54" customHeight="1" thickBot="1">
      <c r="A14" s="26" t="s">
        <v>13</v>
      </c>
      <c r="B14" s="23">
        <f>IPTT_BDK!C16</f>
        <v>554.93651962280273</v>
      </c>
      <c r="C14" s="24">
        <f>IPTT_BDK!BW16</f>
        <v>129</v>
      </c>
      <c r="D14" s="21">
        <f t="shared" si="0"/>
        <v>0.23245902087626691</v>
      </c>
    </row>
    <row r="15" spans="1:5">
      <c r="A15" s="1"/>
      <c r="B15" s="1"/>
      <c r="C15" s="1"/>
      <c r="D15" s="1"/>
    </row>
    <row r="16" spans="1:5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</sheetData>
  <mergeCells count="2">
    <mergeCell ref="A1:D1"/>
    <mergeCell ref="A2:D2"/>
  </mergeCells>
  <conditionalFormatting sqref="D4:D14">
    <cfRule type="containsBlanks" dxfId="4" priority="1">
      <formula>LEN(TRIM(D4))=0</formula>
    </cfRule>
    <cfRule type="cellIs" dxfId="3" priority="2" operator="between">
      <formula>1.005</formula>
      <formula>5</formula>
    </cfRule>
    <cfRule type="cellIs" dxfId="2" priority="3" operator="between">
      <formula>0.895</formula>
      <formula>1.004</formula>
    </cfRule>
    <cfRule type="cellIs" dxfId="1" priority="4" operator="between">
      <formula>0.795</formula>
      <formula>0.894</formula>
    </cfRule>
    <cfRule type="cellIs" dxfId="0" priority="5" operator="between">
      <formula>0.794</formula>
      <formula>0</formula>
    </cfRule>
  </conditionalFormatting>
  <pageMargins left="0.7" right="0.7" top="0.75" bottom="0.75" header="0.3" footer="0.3"/>
  <pageSetup scale="4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M&amp;E Plan</vt:lpstr>
      <vt:lpstr>IPTT_BDK</vt:lpstr>
      <vt:lpstr>Analysis </vt:lpstr>
      <vt:lpstr>'Analysis '!Print_Area</vt:lpstr>
      <vt:lpstr>IPTT_BDK!Print_Area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Samir Habibi</dc:creator>
  <cp:lastModifiedBy>Moorche</cp:lastModifiedBy>
  <cp:lastPrinted>2025-12-13T14:01:17Z</cp:lastPrinted>
  <dcterms:created xsi:type="dcterms:W3CDTF">2023-08-16T05:03:30Z</dcterms:created>
  <dcterms:modified xsi:type="dcterms:W3CDTF">2026-01-11T17:53:08Z</dcterms:modified>
</cp:coreProperties>
</file>